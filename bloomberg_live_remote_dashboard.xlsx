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on Rules &amp; Strategy" sheetId="1" state="visible" r:id="rId1"/>
    <sheet name="Remote Live Screener" sheetId="2" state="visible" r:id="rId2"/>
    <sheet name="20pct Portfolio Sizer" sheetId="3" state="visible" r:id="rId3"/>
    <sheet name="Earnings Catalyst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"/>
    <numFmt numFmtId="166" formatCode="$#,##0.00"/>
    <numFmt numFmtId="167" formatCode="0.0&quot;:1&quot;"/>
    <numFmt numFmtId="168" formatCode="0.0&quot;%&quot;"/>
    <numFmt numFmtId="169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B365D"/>
      <sz val="12"/>
    </font>
    <font>
      <name val="Calibri"/>
      <b val="1"/>
      <color rgb="00C00000"/>
      <sz val="12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  <fill>
      <patternFill patternType="solid">
        <fgColor rgb="002A52BE"/>
        <bgColor rgb="002A52BE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pivotButton="0" quotePrefix="0" xfId="0"/>
    <xf numFmtId="0" fontId="5" fillId="0" borderId="1" pivotButton="0" quotePrefix="0" xfId="0"/>
    <xf numFmtId="0" fontId="4" fillId="4" borderId="0" applyAlignment="1" pivotButton="0" quotePrefix="0" xfId="0">
      <alignment horizontal="center" vertical="center"/>
    </xf>
    <xf numFmtId="164" fontId="5" fillId="0" borderId="1" pivotButton="0" quotePrefix="0" xfId="0"/>
    <xf numFmtId="165" fontId="5" fillId="0" borderId="1" pivotButton="0" quotePrefix="0" xfId="0"/>
    <xf numFmtId="165" fontId="6" fillId="5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166" fontId="7" fillId="6" borderId="0" pivotButton="0" quotePrefix="0" xfId="0"/>
    <xf numFmtId="166" fontId="8" fillId="0" borderId="0" pivotButton="0" quotePrefix="0" xfId="0"/>
    <xf numFmtId="166" fontId="0" fillId="0" borderId="0" pivotButton="0" quotePrefix="0" xfId="0"/>
    <xf numFmtId="166" fontId="5" fillId="0" borderId="1" pivotButton="0" quotePrefix="0" xfId="0"/>
    <xf numFmtId="3" fontId="5" fillId="0" borderId="1" pivotButton="0" quotePrefix="0" xfId="0"/>
    <xf numFmtId="0" fontId="6" fillId="7" borderId="0" pivotButton="0" quotePrefix="0" xfId="0"/>
    <xf numFmtId="166" fontId="6" fillId="7" borderId="0" pivotButton="0" quotePrefix="0" xfId="0"/>
    <xf numFmtId="164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42" customWidth="1" min="2" max="2"/>
    <col width="66" customWidth="1" min="3" max="3"/>
    <col width="14" customWidth="1" min="4" max="4"/>
    <col width="17" customWidth="1" min="5" max="5"/>
    <col width="15" customWidth="1" min="6" max="6"/>
    <col width="17" customWidth="1" min="7" max="7"/>
    <col width="19" customWidth="1" min="8" max="8"/>
    <col width="22" customWidth="1" min="9" max="9"/>
  </cols>
  <sheetData>
    <row r="1">
      <c r="A1" s="1" t="inlineStr">
        <is>
          <t>BLOOMBERG GLOBAL TRADING CHALLENGE — DALLAS COLLEGE</t>
        </is>
      </c>
    </row>
    <row r="2">
      <c r="A2" s="2" t="inlineStr">
        <is>
          <t>Strategy Playbook &amp; Mathematical Risk Framework | Synced: 2026-10-06 16:23:25</t>
        </is>
      </c>
    </row>
    <row r="3"/>
    <row r="4">
      <c r="A4" s="3" t="inlineStr">
        <is>
          <t>1. OFFICIAL COMPETITION RULES &amp; CONSTRAINTS</t>
        </is>
      </c>
    </row>
    <row r="5">
      <c r="A5" s="4" t="inlineStr">
        <is>
          <t>Rule Name</t>
        </is>
      </c>
      <c r="B5" s="4" t="inlineStr">
        <is>
          <t>Constraint</t>
        </is>
      </c>
      <c r="C5" s="4" t="inlineStr">
        <is>
          <t>Strategic Playbook Directive</t>
        </is>
      </c>
    </row>
    <row r="6">
      <c r="A6" s="5" t="inlineStr">
        <is>
          <t>Asset Class</t>
        </is>
      </c>
      <c r="B6" s="5" t="inlineStr">
        <is>
          <t>Long-Only Equities</t>
        </is>
      </c>
      <c r="C6" s="5" t="inlineStr">
        <is>
          <t>Strictly no options, no shorting, no leverage.</t>
        </is>
      </c>
    </row>
    <row r="7">
      <c r="A7" s="6" t="inlineStr">
        <is>
          <t>Benchmark Universe</t>
        </is>
      </c>
      <c r="B7" s="6" t="inlineStr">
        <is>
          <t>World Large/Mid Cap Index (WLS Index)</t>
        </is>
      </c>
      <c r="C7" s="6" t="inlineStr">
        <is>
          <t>Must be index constituents; no penny stocks.</t>
        </is>
      </c>
    </row>
    <row r="8">
      <c r="A8" s="5" t="inlineStr">
        <is>
          <t>Position Sizing Limit</t>
        </is>
      </c>
      <c r="B8" s="5" t="inlineStr">
        <is>
          <t>Maximum 20% of Portfolio Value at Entry</t>
        </is>
      </c>
      <c r="C8" s="5" t="inlineStr">
        <is>
          <t>Limits catastrophic drawdown from single earnings miss.</t>
        </is>
      </c>
    </row>
    <row r="9">
      <c r="A9" s="6" t="inlineStr">
        <is>
          <t>Minimum Security Price</t>
        </is>
      </c>
      <c r="B9" s="6" t="inlineStr">
        <is>
          <t>&gt; $5.00 per share</t>
        </is>
      </c>
      <c r="C9" s="6" t="inlineStr">
        <is>
          <t>Guarantees liquidity and realistic fill simulation.</t>
        </is>
      </c>
    </row>
    <row r="10">
      <c r="A10" s="5" t="inlineStr">
        <is>
          <t>Capital Recycling</t>
        </is>
      </c>
      <c r="B10" s="5" t="inlineStr">
        <is>
          <t>Active Rebalancing Allowed</t>
        </is>
      </c>
      <c r="C10" s="5" t="inlineStr">
        <is>
          <t>Take profits on catalyst peaks and redeploy into next 20% clip.</t>
        </is>
      </c>
    </row>
    <row r="11"/>
    <row r="12">
      <c r="A12" s="3" t="inlineStr">
        <is>
          <t>2. MATHEMATICAL REALITY: STOCK PREDICTION VS. RISK/REWARD RATIO</t>
        </is>
      </c>
    </row>
    <row r="13">
      <c r="A13" s="7" t="inlineStr">
        <is>
          <t>Strategy Scenario</t>
        </is>
      </c>
      <c r="B13" s="7" t="inlineStr">
        <is>
          <t>Win Rate</t>
        </is>
      </c>
      <c r="C13" s="7" t="inlineStr">
        <is>
          <t>Wins (of 10)</t>
        </is>
      </c>
      <c r="D13" s="7" t="inlineStr">
        <is>
          <t>Avg Win ($)</t>
        </is>
      </c>
      <c r="E13" s="7" t="inlineStr">
        <is>
          <t>Losses (of 10)</t>
        </is>
      </c>
      <c r="F13" s="7" t="inlineStr">
        <is>
          <t>Avg Loss ($)</t>
        </is>
      </c>
      <c r="G13" s="7" t="inlineStr">
        <is>
          <t>Total Wins ($)</t>
        </is>
      </c>
      <c r="H13" s="7" t="inlineStr">
        <is>
          <t>Total Losses ($)</t>
        </is>
      </c>
      <c r="I13" s="7" t="inlineStr">
        <is>
          <t>Net Profit/Loss ($)</t>
        </is>
      </c>
    </row>
    <row r="14">
      <c r="A14" s="6" t="inlineStr">
        <is>
          <t>Scenario A: High Prediction, Poor Risk</t>
        </is>
      </c>
      <c r="B14" s="8" t="n">
        <v>0.8</v>
      </c>
      <c r="C14" s="6" t="n">
        <v>8</v>
      </c>
      <c r="D14" s="9" t="n">
        <v>100</v>
      </c>
      <c r="E14" s="6" t="n">
        <v>2</v>
      </c>
      <c r="F14" s="9" t="n">
        <v>600</v>
      </c>
      <c r="G14" s="9">
        <f>C14*D14</f>
        <v/>
      </c>
      <c r="H14" s="9">
        <f>E14*F14</f>
        <v/>
      </c>
      <c r="I14" s="10">
        <f>G14-H14</f>
        <v/>
      </c>
    </row>
    <row r="15">
      <c r="A15" s="6" t="inlineStr">
        <is>
          <t>Scenario B: Low Prediction, Asymmetric 3:1 R/R</t>
        </is>
      </c>
      <c r="B15" s="8" t="n">
        <v>0.4</v>
      </c>
      <c r="C15" s="6" t="n">
        <v>4</v>
      </c>
      <c r="D15" s="9" t="n">
        <v>300</v>
      </c>
      <c r="E15" s="6" t="n">
        <v>6</v>
      </c>
      <c r="F15" s="9" t="n">
        <v>100</v>
      </c>
      <c r="G15" s="9">
        <f>C15*D15</f>
        <v/>
      </c>
      <c r="H15" s="9">
        <f>E15*F15</f>
        <v/>
      </c>
      <c r="I15" s="10">
        <f>G15-H15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29" customWidth="1" min="2" max="2"/>
    <col width="25" customWidth="1" min="3" max="3"/>
    <col width="13" customWidth="1" min="4" max="4"/>
    <col width="24" customWidth="1" min="5" max="5"/>
    <col width="24" customWidth="1" min="6" max="6"/>
    <col width="21" customWidth="1" min="7" max="7"/>
    <col width="18" customWidth="1" min="8" max="8"/>
    <col width="15" customWidth="1" min="9" max="9"/>
    <col width="15" customWidth="1" min="10" max="10"/>
    <col width="15" customWidth="1" min="11" max="11"/>
    <col width="20" customWidth="1" min="12" max="12"/>
    <col width="15" customWidth="1" min="13" max="13"/>
    <col width="12" customWidth="1" min="14" max="14"/>
    <col width="12" customWidth="1" min="15" max="15"/>
    <col width="12" customWidth="1" min="16" max="16"/>
    <col width="15" customWidth="1" min="17" max="17"/>
    <col width="21" customWidth="1" min="18" max="18"/>
    <col width="21" customWidth="1" min="19" max="19"/>
    <col width="21" customWidth="1" min="20" max="20"/>
    <col width="14" customWidth="1" min="21" max="21"/>
    <col width="16" customWidth="1" min="22" max="22"/>
  </cols>
  <sheetData>
    <row r="1">
      <c r="A1" s="1" t="inlineStr">
        <is>
          <t>LIVE CANDIDATE SCREENER — REMOTE ACCESSIBLE</t>
        </is>
      </c>
    </row>
    <row r="2">
      <c r="A2" s="2" t="inlineStr">
        <is>
          <t>Terminal data baked as values; dynamic Excel formulas compute Target Upside, Stop Losses, and Asymmetric Risk/Reward.</t>
        </is>
      </c>
    </row>
    <row r="3"/>
    <row r="4">
      <c r="A4" s="11" t="inlineStr">
        <is>
          <t>SYMBOL</t>
        </is>
      </c>
      <c r="B4" s="11" t="inlineStr">
        <is>
          <t>NAME</t>
        </is>
      </c>
      <c r="C4" s="11" t="inlineStr">
        <is>
          <t>SECTOR</t>
        </is>
      </c>
      <c r="D4" s="11" t="inlineStr">
        <is>
          <t>LAST PRICE</t>
        </is>
      </c>
      <c r="E4" s="11" t="inlineStr">
        <is>
          <t>1D CHG %</t>
        </is>
      </c>
      <c r="F4" s="11" t="inlineStr">
        <is>
          <t>5D CHG %</t>
        </is>
      </c>
      <c r="G4" s="11" t="inlineStr">
        <is>
          <t>WALL ST TARGET</t>
        </is>
      </c>
      <c r="H4" s="11" t="inlineStr">
        <is>
          <t>TARGET UPSIDE %</t>
        </is>
      </c>
      <c r="I4" s="11" t="inlineStr">
        <is>
          <t>7% STOP LOSS</t>
        </is>
      </c>
      <c r="J4" s="11" t="inlineStr">
        <is>
          <t>$ RISK/SH</t>
        </is>
      </c>
      <c r="K4" s="11" t="inlineStr">
        <is>
          <t>$ REWARD/SH</t>
        </is>
      </c>
      <c r="L4" s="11" t="inlineStr">
        <is>
          <t>RISK/REWARD RATIO</t>
        </is>
      </c>
      <c r="M4" s="11" t="inlineStr">
        <is>
          <t>SIGNAL</t>
        </is>
      </c>
      <c r="N4" s="11" t="inlineStr">
        <is>
          <t>BUY RECS</t>
        </is>
      </c>
      <c r="O4" s="11" t="inlineStr">
        <is>
          <t>HOLD RECS</t>
        </is>
      </c>
      <c r="P4" s="11" t="inlineStr">
        <is>
          <t>SELL RECS</t>
        </is>
      </c>
      <c r="Q4" s="11" t="inlineStr">
        <is>
          <t>BUY %</t>
        </is>
      </c>
      <c r="R4" s="11" t="inlineStr">
        <is>
          <t>ROE %</t>
        </is>
      </c>
      <c r="S4" s="11" t="inlineStr">
        <is>
          <t>P/E RATIO</t>
        </is>
      </c>
      <c r="T4" s="11" t="inlineStr">
        <is>
          <t>MARKET CAP</t>
        </is>
      </c>
      <c r="U4" s="11" t="inlineStr">
        <is>
          <t>VOLUME</t>
        </is>
      </c>
      <c r="V4" s="11" t="inlineStr">
        <is>
          <t>EARNINGS DATE</t>
        </is>
      </c>
    </row>
    <row r="5">
      <c r="A5" s="12" t="inlineStr">
        <is>
          <t>AVGO</t>
        </is>
      </c>
      <c r="B5" s="12" t="inlineStr">
        <is>
          <t>BROADCOM INC</t>
        </is>
      </c>
      <c r="C5" s="12" t="inlineStr">
        <is>
          <t>Information Technology</t>
        </is>
      </c>
      <c r="D5" s="13" t="n">
        <v>375.81</v>
      </c>
      <c r="E5" s="14" t="n">
        <v>0.03668864</v>
      </c>
      <c r="F5" s="14" t="n">
        <v>0.0583216</v>
      </c>
      <c r="G5" s="13" t="n">
        <v>529.7020874023438</v>
      </c>
      <c r="H5" s="14">
        <f>(G5-D5)/D5</f>
        <v/>
      </c>
      <c r="I5" s="13">
        <f>D5*0.93</f>
        <v/>
      </c>
      <c r="J5" s="13">
        <f>D5-I5</f>
        <v/>
      </c>
      <c r="K5" s="13">
        <f>G5-D5</f>
        <v/>
      </c>
      <c r="L5" s="15">
        <f>IF(J5&gt;0, K5/J5, 0)</f>
        <v/>
      </c>
      <c r="M5" s="16">
        <f>IF(L5&gt;=3.0, "STRONG BUY (3:1+)", IF(L5&gt;=2.0, "QUALIFIED (2:1+)", "MONITOR"))</f>
        <v/>
      </c>
      <c r="N5" s="17" t="n">
        <v>58</v>
      </c>
      <c r="O5" s="17" t="n">
        <v>4</v>
      </c>
      <c r="P5" s="17" t="n">
        <v>0</v>
      </c>
      <c r="Q5" s="14">
        <f>IF((N5+O5+P5)&gt;0, N5/(N5+O5+P5), 0)</f>
        <v/>
      </c>
      <c r="R5" s="18" t="n">
        <v>44.24543410014627</v>
      </c>
      <c r="S5" s="19" t="n">
        <v>45.08017202445418</v>
      </c>
      <c r="T5" s="20" t="n">
        <v>1793977839565.65</v>
      </c>
      <c r="U5" s="17" t="n">
        <v>30717692</v>
      </c>
      <c r="V5" s="21" t="inlineStr">
        <is>
          <t>2026-12-11</t>
        </is>
      </c>
    </row>
    <row r="6">
      <c r="A6" s="12" t="inlineStr">
        <is>
          <t>NVDA</t>
        </is>
      </c>
      <c r="B6" s="12" t="inlineStr">
        <is>
          <t>NVIDIA CORP</t>
        </is>
      </c>
      <c r="C6" s="12" t="inlineStr">
        <is>
          <t>Information Technology</t>
        </is>
      </c>
      <c r="D6" s="13" t="n">
        <v>239.24</v>
      </c>
      <c r="E6" s="14" t="n">
        <v>0.00142319</v>
      </c>
      <c r="F6" s="14" t="n">
        <v>0.05294661</v>
      </c>
      <c r="G6" s="13" t="n">
        <v>323.8887634277344</v>
      </c>
      <c r="H6" s="14">
        <f>(G6-D6)/D6</f>
        <v/>
      </c>
      <c r="I6" s="13">
        <f>D6*0.93</f>
        <v/>
      </c>
      <c r="J6" s="13">
        <f>D6-I6</f>
        <v/>
      </c>
      <c r="K6" s="13">
        <f>G6-D6</f>
        <v/>
      </c>
      <c r="L6" s="15">
        <f>IF(J6&gt;0, K6/J6, 0)</f>
        <v/>
      </c>
      <c r="M6" s="16">
        <f>IF(L6&gt;=3.0, "STRONG BUY (3:1+)", IF(L6&gt;=2.0, "QUALIFIED (2:1+)", "MONITOR"))</f>
        <v/>
      </c>
      <c r="N6" s="17" t="n">
        <v>79</v>
      </c>
      <c r="O6" s="17" t="n">
        <v>2</v>
      </c>
      <c r="P6" s="17" t="n">
        <v>1</v>
      </c>
      <c r="Q6" s="14">
        <f>IF((N6+O6+P6)&gt;0, N6/(N6+O6+P6), 0)</f>
        <v/>
      </c>
      <c r="R6" s="18" t="n">
        <v>117.210701426553</v>
      </c>
      <c r="S6" s="19" t="n">
        <v>34.40189614394557</v>
      </c>
      <c r="T6" s="20" t="n">
        <v>5765684000000</v>
      </c>
      <c r="U6" s="17" t="n">
        <v>100692456</v>
      </c>
      <c r="V6" s="21" t="inlineStr">
        <is>
          <t>2026-11-19</t>
        </is>
      </c>
    </row>
    <row r="7">
      <c r="A7" s="12" t="inlineStr">
        <is>
          <t>AMZN</t>
        </is>
      </c>
      <c r="B7" s="12" t="inlineStr">
        <is>
          <t>AMAZON.COM INC</t>
        </is>
      </c>
      <c r="C7" s="12" t="inlineStr">
        <is>
          <t>Consumer Discretionary</t>
        </is>
      </c>
      <c r="D7" s="13" t="n">
        <v>256.29</v>
      </c>
      <c r="E7" s="14" t="n">
        <v>0.01945107</v>
      </c>
      <c r="F7" s="14" t="n">
        <v>0.03899947</v>
      </c>
      <c r="G7" s="13" t="n">
        <v>332.6354675292969</v>
      </c>
      <c r="H7" s="14">
        <f>(G7-D7)/D7</f>
        <v/>
      </c>
      <c r="I7" s="13">
        <f>D7*0.93</f>
        <v/>
      </c>
      <c r="J7" s="13">
        <f>D7-I7</f>
        <v/>
      </c>
      <c r="K7" s="13">
        <f>G7-D7</f>
        <v/>
      </c>
      <c r="L7" s="15">
        <f>IF(J7&gt;0, K7/J7, 0)</f>
        <v/>
      </c>
      <c r="M7" s="16">
        <f>IF(L7&gt;=3.0, "STRONG BUY (3:1+)", IF(L7&gt;=2.0, "QUALIFIED (2:1+)", "MONITOR"))</f>
        <v/>
      </c>
      <c r="N7" s="17" t="n">
        <v>77</v>
      </c>
      <c r="O7" s="17" t="n">
        <v>4</v>
      </c>
      <c r="P7" s="17" t="n">
        <v>0</v>
      </c>
      <c r="Q7" s="14">
        <f>IF((N7+O7+P7)&gt;0, N7/(N7+O7+P7), 0)</f>
        <v/>
      </c>
      <c r="R7" s="18" t="n">
        <v>30.55833836875067</v>
      </c>
      <c r="S7" s="19" t="n">
        <v>35.60544799108563</v>
      </c>
      <c r="T7" s="20" t="n">
        <v>2764424305367.88</v>
      </c>
      <c r="U7" s="17" t="n">
        <v>32765498</v>
      </c>
      <c r="V7" s="21" t="inlineStr">
        <is>
          <t>2026-10-30</t>
        </is>
      </c>
    </row>
    <row r="8">
      <c r="A8" s="12" t="inlineStr">
        <is>
          <t>UNH</t>
        </is>
      </c>
      <c r="B8" s="12" t="inlineStr">
        <is>
          <t>UNITEDHEALTH GROUP INC</t>
        </is>
      </c>
      <c r="C8" s="12" t="inlineStr">
        <is>
          <t>Health Care</t>
        </is>
      </c>
      <c r="D8" s="13" t="n">
        <v>376.32</v>
      </c>
      <c r="E8" s="14" t="n">
        <v>-0.005969676</v>
      </c>
      <c r="F8" s="14" t="n">
        <v>0.003680589</v>
      </c>
      <c r="G8" s="13" t="n">
        <v>481.1111145019531</v>
      </c>
      <c r="H8" s="14">
        <f>(G8-D8)/D8</f>
        <v/>
      </c>
      <c r="I8" s="13">
        <f>D8*0.93</f>
        <v/>
      </c>
      <c r="J8" s="13">
        <f>D8-I8</f>
        <v/>
      </c>
      <c r="K8" s="13">
        <f>G8-D8</f>
        <v/>
      </c>
      <c r="L8" s="15">
        <f>IF(J8&gt;0, K8/J8, 0)</f>
        <v/>
      </c>
      <c r="M8" s="16">
        <f>IF(L8&gt;=3.0, "STRONG BUY (3:1+)", IF(L8&gt;=2.0, "QUALIFIED (2:1+)", "MONITOR"))</f>
        <v/>
      </c>
      <c r="N8" s="17" t="n">
        <v>25</v>
      </c>
      <c r="O8" s="17" t="n">
        <v>5</v>
      </c>
      <c r="P8" s="17" t="n">
        <v>0</v>
      </c>
      <c r="Q8" s="14">
        <f>IF((N8+O8+P8)&gt;0, N8/(N8+O8+P8), 0)</f>
        <v/>
      </c>
      <c r="R8" s="18" t="n">
        <v>14.62124231898163</v>
      </c>
      <c r="S8" s="19" t="n">
        <v>21.13110879776216</v>
      </c>
      <c r="T8" s="20" t="n">
        <v>337782892823.04</v>
      </c>
      <c r="U8" s="17" t="n">
        <v>4800153</v>
      </c>
      <c r="V8" s="21" t="inlineStr">
        <is>
          <t>2026-10-13</t>
        </is>
      </c>
    </row>
    <row r="9">
      <c r="A9" s="12" t="inlineStr">
        <is>
          <t>GE</t>
        </is>
      </c>
      <c r="B9" s="12" t="inlineStr">
        <is>
          <t>GENERAL ELECTRIC</t>
        </is>
      </c>
      <c r="C9" s="12" t="inlineStr">
        <is>
          <t>Industrials</t>
        </is>
      </c>
      <c r="D9" s="13" t="n">
        <v>309.39</v>
      </c>
      <c r="E9" s="14" t="n">
        <v>0.009956258000000001</v>
      </c>
      <c r="F9" s="14" t="n">
        <v>-0.02673881</v>
      </c>
      <c r="G9" s="13" t="n">
        <v>393</v>
      </c>
      <c r="H9" s="14">
        <f>(G9-D9)/D9</f>
        <v/>
      </c>
      <c r="I9" s="13">
        <f>D9*0.93</f>
        <v/>
      </c>
      <c r="J9" s="13">
        <f>D9-I9</f>
        <v/>
      </c>
      <c r="K9" s="13">
        <f>G9-D9</f>
        <v/>
      </c>
      <c r="L9" s="15">
        <f>IF(J9&gt;0, K9/J9, 0)</f>
        <v/>
      </c>
      <c r="M9" s="16">
        <f>IF(L9&gt;=3.0, "STRONG BUY (3:1+)", IF(L9&gt;=2.0, "QUALIFIED (2:1+)", "MONITOR"))</f>
        <v/>
      </c>
      <c r="N9" s="17" t="n">
        <v>21</v>
      </c>
      <c r="O9" s="17" t="n">
        <v>3</v>
      </c>
      <c r="P9" s="17" t="n">
        <v>2</v>
      </c>
      <c r="Q9" s="14">
        <f>IF((N9+O9+P9)&gt;0, N9/(N9+O9+P9), 0)</f>
        <v/>
      </c>
      <c r="R9" s="18" t="n">
        <v>48.79401767505099</v>
      </c>
      <c r="S9" s="19" t="n">
        <v>42.84389841769323</v>
      </c>
      <c r="T9" s="20" t="n">
        <v>321011465897.0699</v>
      </c>
      <c r="U9" s="17" t="n">
        <v>3426796</v>
      </c>
      <c r="V9" s="21" t="inlineStr">
        <is>
          <t>2026-10-20</t>
        </is>
      </c>
    </row>
    <row r="10">
      <c r="A10" s="12" t="inlineStr">
        <is>
          <t>RTX</t>
        </is>
      </c>
      <c r="B10" s="12" t="inlineStr">
        <is>
          <t>RTX CORP</t>
        </is>
      </c>
      <c r="C10" s="12" t="inlineStr">
        <is>
          <t>Industrials</t>
        </is>
      </c>
      <c r="D10" s="13" t="n">
        <v>183.29</v>
      </c>
      <c r="E10" s="14" t="n">
        <v>-0.005642055</v>
      </c>
      <c r="F10" s="14" t="n">
        <v>-0.01952498</v>
      </c>
      <c r="G10" s="13" t="n">
        <v>230.5652160644531</v>
      </c>
      <c r="H10" s="14">
        <f>(G10-D10)/D10</f>
        <v/>
      </c>
      <c r="I10" s="13">
        <f>D10*0.93</f>
        <v/>
      </c>
      <c r="J10" s="13">
        <f>D10-I10</f>
        <v/>
      </c>
      <c r="K10" s="13">
        <f>G10-D10</f>
        <v/>
      </c>
      <c r="L10" s="15">
        <f>IF(J10&gt;0, K10/J10, 0)</f>
        <v/>
      </c>
      <c r="M10" s="16">
        <f>IF(L10&gt;=3.0, "STRONG BUY (3:1+)", IF(L10&gt;=2.0, "QUALIFIED (2:1+)", "MONITOR"))</f>
        <v/>
      </c>
      <c r="N10" s="17" t="n">
        <v>19</v>
      </c>
      <c r="O10" s="17" t="n">
        <v>7</v>
      </c>
      <c r="P10" s="17" t="n">
        <v>1</v>
      </c>
      <c r="Q10" s="14">
        <f>IF((N10+O10+P10)&gt;0, N10/(N10+O10+P10), 0)</f>
        <v/>
      </c>
      <c r="R10" s="18" t="n">
        <v>12.01786060959037</v>
      </c>
      <c r="S10" s="19" t="n">
        <v>26.4909171208355</v>
      </c>
      <c r="T10" s="20" t="n">
        <v>247030590213.76</v>
      </c>
      <c r="U10" s="17" t="n">
        <v>4168604</v>
      </c>
      <c r="V10" s="21" t="inlineStr">
        <is>
          <t>2026-10-20</t>
        </is>
      </c>
    </row>
    <row r="11">
      <c r="A11" s="12" t="inlineStr">
        <is>
          <t>GS</t>
        </is>
      </c>
      <c r="B11" s="12" t="inlineStr">
        <is>
          <t>GOLDMAN SACHS GROUP INC</t>
        </is>
      </c>
      <c r="C11" s="12" t="inlineStr">
        <is>
          <t>Financials</t>
        </is>
      </c>
      <c r="D11" s="13" t="n">
        <v>897.1799999999999</v>
      </c>
      <c r="E11" s="14" t="n">
        <v>0.004163589</v>
      </c>
      <c r="F11" s="14" t="n">
        <v>-0.02080241</v>
      </c>
      <c r="G11" s="13" t="n">
        <v>1123.772705078125</v>
      </c>
      <c r="H11" s="14">
        <f>(G11-D11)/D11</f>
        <v/>
      </c>
      <c r="I11" s="13">
        <f>D11*0.93</f>
        <v/>
      </c>
      <c r="J11" s="13">
        <f>D11-I11</f>
        <v/>
      </c>
      <c r="K11" s="13">
        <f>G11-D11</f>
        <v/>
      </c>
      <c r="L11" s="15">
        <f>IF(J11&gt;0, K11/J11, 0)</f>
        <v/>
      </c>
      <c r="M11" s="16">
        <f>IF(L11&gt;=3.0, "STRONG BUY (3:1+)", IF(L11&gt;=2.0, "QUALIFIED (2:1+)", "MONITOR"))</f>
        <v/>
      </c>
      <c r="N11" s="17" t="n">
        <v>11</v>
      </c>
      <c r="O11" s="17" t="n">
        <v>16</v>
      </c>
      <c r="P11" s="17" t="n">
        <v>1</v>
      </c>
      <c r="Q11" s="14">
        <f>IF((N11+O11+P11)&gt;0, N11/(N11+O11+P11), 0)</f>
        <v/>
      </c>
      <c r="R11" s="18" t="n">
        <v>18.3355666637702</v>
      </c>
      <c r="S11" s="19" t="n">
        <v>13.72168011061556</v>
      </c>
      <c r="T11" s="20" t="n">
        <v>271597312723.5</v>
      </c>
      <c r="U11" s="17" t="n">
        <v>2046129</v>
      </c>
      <c r="V11" s="21" t="inlineStr">
        <is>
          <t>2026-10-13</t>
        </is>
      </c>
    </row>
    <row r="12">
      <c r="A12" s="12" t="inlineStr">
        <is>
          <t>LMT</t>
        </is>
      </c>
      <c r="B12" s="12" t="inlineStr">
        <is>
          <t>LOCKHEED MARTIN CORP</t>
        </is>
      </c>
      <c r="C12" s="12" t="inlineStr">
        <is>
          <t>Industrials</t>
        </is>
      </c>
      <c r="D12" s="13" t="n">
        <v>510.12</v>
      </c>
      <c r="E12" s="14" t="n">
        <v>0.006888656</v>
      </c>
      <c r="F12" s="14" t="n">
        <v>-0.004080358</v>
      </c>
      <c r="G12" s="13" t="n">
        <v>638.8261108398438</v>
      </c>
      <c r="H12" s="14">
        <f>(G12-D12)/D12</f>
        <v/>
      </c>
      <c r="I12" s="13">
        <f>D12*0.93</f>
        <v/>
      </c>
      <c r="J12" s="13">
        <f>D12-I12</f>
        <v/>
      </c>
      <c r="K12" s="13">
        <f>G12-D12</f>
        <v/>
      </c>
      <c r="L12" s="15">
        <f>IF(J12&gt;0, K12/J12, 0)</f>
        <v/>
      </c>
      <c r="M12" s="16">
        <f>IF(L12&gt;=3.0, "STRONG BUY (3:1+)", IF(L12&gt;=2.0, "QUALIFIED (2:1+)", "MONITOR"))</f>
        <v/>
      </c>
      <c r="N12" s="17" t="n">
        <v>13</v>
      </c>
      <c r="O12" s="17" t="n">
        <v>13</v>
      </c>
      <c r="P12" s="17" t="n">
        <v>1</v>
      </c>
      <c r="Q12" s="14">
        <f>IF((N12+O12+P12)&gt;0, N12/(N12+O12+P12), 0)</f>
        <v/>
      </c>
      <c r="R12" s="18" t="n">
        <v>89.16465749539071</v>
      </c>
      <c r="S12" s="19" t="n">
        <v>23.54666199647038</v>
      </c>
      <c r="T12" s="20" t="n">
        <v>117730978920.36</v>
      </c>
      <c r="U12" s="17" t="n">
        <v>849370</v>
      </c>
      <c r="V12" s="21" t="inlineStr">
        <is>
          <t>2026-10-22</t>
        </is>
      </c>
    </row>
    <row r="13">
      <c r="A13" s="12" t="inlineStr">
        <is>
          <t>GOOGL</t>
        </is>
      </c>
      <c r="B13" s="12" t="inlineStr">
        <is>
          <t>ALPHABET INC-CL A</t>
        </is>
      </c>
      <c r="C13" s="12" t="inlineStr">
        <is>
          <t>Communication Services</t>
        </is>
      </c>
      <c r="D13" s="13" t="n">
        <v>347.68</v>
      </c>
      <c r="E13" s="14" t="n">
        <v>0.003492366</v>
      </c>
      <c r="F13" s="14" t="n">
        <v>0.0198287</v>
      </c>
      <c r="G13" s="13" t="n">
        <v>429.2468566894531</v>
      </c>
      <c r="H13" s="14">
        <f>(G13-D13)/D13</f>
        <v/>
      </c>
      <c r="I13" s="13">
        <f>D13*0.93</f>
        <v/>
      </c>
      <c r="J13" s="13">
        <f>D13-I13</f>
        <v/>
      </c>
      <c r="K13" s="13">
        <f>G13-D13</f>
        <v/>
      </c>
      <c r="L13" s="15">
        <f>IF(J13&gt;0, K13/J13, 0)</f>
        <v/>
      </c>
      <c r="M13" s="16">
        <f>IF(L13&gt;=3.0, "STRONG BUY (3:1+)", IF(L13&gt;=2.0, "QUALIFIED (2:1+)", "MONITOR"))</f>
        <v/>
      </c>
      <c r="N13" s="17" t="n">
        <v>64</v>
      </c>
      <c r="O13" s="17" t="n">
        <v>7</v>
      </c>
      <c r="P13" s="17" t="n">
        <v>0</v>
      </c>
      <c r="Q13" s="14">
        <f>IF((N13+O13+P13)&gt;0, N13/(N13+O13+P13), 0)</f>
        <v/>
      </c>
      <c r="R13" s="18" t="n">
        <v>49.54854659098636</v>
      </c>
      <c r="S13" s="19" t="n">
        <v>33.61601864774237</v>
      </c>
      <c r="T13" s="20" t="n">
        <v>4233757895000</v>
      </c>
      <c r="U13" s="17" t="n">
        <v>18348087</v>
      </c>
      <c r="V13" s="21" t="inlineStr">
        <is>
          <t>2026-10-28</t>
        </is>
      </c>
    </row>
    <row r="14">
      <c r="A14" s="12" t="inlineStr">
        <is>
          <t>WMT</t>
        </is>
      </c>
      <c r="B14" s="12" t="inlineStr">
        <is>
          <t>WALMART INC</t>
        </is>
      </c>
      <c r="C14" s="12" t="inlineStr">
        <is>
          <t>Consumer Staples</t>
        </is>
      </c>
      <c r="D14" s="13" t="n">
        <v>107.2</v>
      </c>
      <c r="E14" s="14" t="n">
        <v>0.0202722</v>
      </c>
      <c r="F14" s="14" t="n">
        <v>0.003745318</v>
      </c>
      <c r="G14" s="13" t="n">
        <v>128.2888946533203</v>
      </c>
      <c r="H14" s="14">
        <f>(G14-D14)/D14</f>
        <v/>
      </c>
      <c r="I14" s="13">
        <f>D14*0.93</f>
        <v/>
      </c>
      <c r="J14" s="13">
        <f>D14-I14</f>
        <v/>
      </c>
      <c r="K14" s="13">
        <f>G14-D14</f>
        <v/>
      </c>
      <c r="L14" s="15">
        <f>IF(J14&gt;0, K14/J14, 0)</f>
        <v/>
      </c>
      <c r="M14" s="16">
        <f>IF(L14&gt;=3.0, "STRONG BUY (3:1+)", IF(L14&gt;=2.0, "QUALIFIED (2:1+)", "MONITOR"))</f>
        <v/>
      </c>
      <c r="N14" s="17" t="n">
        <v>46</v>
      </c>
      <c r="O14" s="17" t="n">
        <v>5</v>
      </c>
      <c r="P14" s="17" t="n">
        <v>1</v>
      </c>
      <c r="Q14" s="14">
        <f>IF((N14+O14+P14)&gt;0, N14/(N14+O14+P14), 0)</f>
        <v/>
      </c>
      <c r="R14" s="18" t="n">
        <v>23.4417142735787</v>
      </c>
      <c r="S14" s="19" t="n">
        <v>37.90012008124562</v>
      </c>
      <c r="T14" s="20" t="n">
        <v>850497597035.2</v>
      </c>
      <c r="U14" s="17" t="n">
        <v>21668064</v>
      </c>
      <c r="V14" s="21" t="inlineStr">
        <is>
          <t>2026-11-19</t>
        </is>
      </c>
    </row>
    <row r="15">
      <c r="A15" s="12" t="inlineStr">
        <is>
          <t>MA</t>
        </is>
      </c>
      <c r="B15" s="12" t="inlineStr">
        <is>
          <t>MASTERCARD INC - A</t>
        </is>
      </c>
      <c r="C15" s="12" t="inlineStr">
        <is>
          <t>Financials</t>
        </is>
      </c>
      <c r="D15" s="13" t="n">
        <v>566.58</v>
      </c>
      <c r="E15" s="14" t="n">
        <v>0.003524682</v>
      </c>
      <c r="F15" s="14" t="n">
        <v>0.005323113000000001</v>
      </c>
      <c r="G15" s="13" t="n">
        <v>670.5609741210938</v>
      </c>
      <c r="H15" s="14">
        <f>(G15-D15)/D15</f>
        <v/>
      </c>
      <c r="I15" s="13">
        <f>D15*0.93</f>
        <v/>
      </c>
      <c r="J15" s="13">
        <f>D15-I15</f>
        <v/>
      </c>
      <c r="K15" s="13">
        <f>G15-D15</f>
        <v/>
      </c>
      <c r="L15" s="15">
        <f>IF(J15&gt;0, K15/J15, 0)</f>
        <v/>
      </c>
      <c r="M15" s="16">
        <f>IF(L15&gt;=3.0, "STRONG BUY (3:1+)", IF(L15&gt;=2.0, "QUALIFIED (2:1+)", "MONITOR"))</f>
        <v/>
      </c>
      <c r="N15" s="17" t="n">
        <v>46</v>
      </c>
      <c r="O15" s="17" t="n">
        <v>3</v>
      </c>
      <c r="P15" s="17" t="n">
        <v>0</v>
      </c>
      <c r="Q15" s="14">
        <f>IF((N15+O15+P15)&gt;0, N15/(N15+O15+P15), 0)</f>
        <v/>
      </c>
      <c r="R15" s="18" t="n">
        <v>241.4884135472371</v>
      </c>
      <c r="S15" s="19" t="n">
        <v>29.88450109002861</v>
      </c>
      <c r="T15" s="20" t="n">
        <v>496438404512.4</v>
      </c>
      <c r="U15" s="17" t="n">
        <v>2286490</v>
      </c>
      <c r="V15" s="21" t="inlineStr">
        <is>
          <t>2026-10-30</t>
        </is>
      </c>
    </row>
    <row r="16">
      <c r="A16" s="12" t="inlineStr">
        <is>
          <t>CAT</t>
        </is>
      </c>
      <c r="B16" s="12" t="inlineStr">
        <is>
          <t>CATERPILLAR INC</t>
        </is>
      </c>
      <c r="C16" s="12" t="inlineStr">
        <is>
          <t>Industrials</t>
        </is>
      </c>
      <c r="D16" s="13" t="n">
        <v>863.4400000000001</v>
      </c>
      <c r="E16" s="14" t="n">
        <v>0.01803947</v>
      </c>
      <c r="F16" s="14" t="n">
        <v>0.04451757</v>
      </c>
      <c r="G16" s="13" t="n">
        <v>1007.163208007812</v>
      </c>
      <c r="H16" s="14">
        <f>(G16-D16)/D16</f>
        <v/>
      </c>
      <c r="I16" s="13">
        <f>D16*0.93</f>
        <v/>
      </c>
      <c r="J16" s="13">
        <f>D16-I16</f>
        <v/>
      </c>
      <c r="K16" s="13">
        <f>G16-D16</f>
        <v/>
      </c>
      <c r="L16" s="15">
        <f>IF(J16&gt;0, K16/J16, 0)</f>
        <v/>
      </c>
      <c r="M16" s="16">
        <f>IF(L16&gt;=3.0, "STRONG BUY (3:1+)", IF(L16&gt;=2.0, "QUALIFIED (2:1+)", "MONITOR"))</f>
        <v/>
      </c>
      <c r="N16" s="17" t="n">
        <v>17</v>
      </c>
      <c r="O16" s="17" t="n">
        <v>11</v>
      </c>
      <c r="P16" s="17" t="n">
        <v>0</v>
      </c>
      <c r="Q16" s="14">
        <f>IF((N16+O16+P16)&gt;0, N16/(N16+O16+P16), 0)</f>
        <v/>
      </c>
      <c r="R16" s="18" t="n">
        <v>56.98969939037208</v>
      </c>
      <c r="S16" s="19" t="n">
        <v>36.71931491249718</v>
      </c>
      <c r="T16" s="20" t="n">
        <v>396901686158.16</v>
      </c>
      <c r="U16" s="17" t="n">
        <v>1961592</v>
      </c>
      <c r="V16" s="21" t="inlineStr">
        <is>
          <t>2026-10-29</t>
        </is>
      </c>
    </row>
    <row r="17">
      <c r="A17" s="12" t="inlineStr">
        <is>
          <t>LLY</t>
        </is>
      </c>
      <c r="B17" s="12" t="inlineStr">
        <is>
          <t>ELI LILLY &amp; CO</t>
        </is>
      </c>
      <c r="C17" s="12" t="inlineStr">
        <is>
          <t>Health Care</t>
        </is>
      </c>
      <c r="D17" s="13" t="n">
        <v>1157.49</v>
      </c>
      <c r="E17" s="14" t="n">
        <v>0.01257086</v>
      </c>
      <c r="F17" s="14" t="n">
        <v>-0.02291011</v>
      </c>
      <c r="G17" s="13" t="n">
        <v>1346.066040039062</v>
      </c>
      <c r="H17" s="14">
        <f>(G17-D17)/D17</f>
        <v/>
      </c>
      <c r="I17" s="13">
        <f>D17*0.93</f>
        <v/>
      </c>
      <c r="J17" s="13">
        <f>D17-I17</f>
        <v/>
      </c>
      <c r="K17" s="13">
        <f>G17-D17</f>
        <v/>
      </c>
      <c r="L17" s="15">
        <f>IF(J17&gt;0, K17/J17, 0)</f>
        <v/>
      </c>
      <c r="M17" s="16">
        <f>IF(L17&gt;=3.0, "STRONG BUY (3:1+)", IF(L17&gt;=2.0, "QUALIFIED (2:1+)", "MONITOR"))</f>
        <v/>
      </c>
      <c r="N17" s="17" t="n">
        <v>30</v>
      </c>
      <c r="O17" s="17" t="n">
        <v>4</v>
      </c>
      <c r="P17" s="17" t="n">
        <v>1</v>
      </c>
      <c r="Q17" s="14">
        <f>IF((N17+O17+P17)&gt;0, N17/(N17+O17+P17), 0)</f>
        <v/>
      </c>
      <c r="R17" s="18" t="n">
        <v>102.4296334361739</v>
      </c>
      <c r="S17" s="19" t="n">
        <v>32.50968727501066</v>
      </c>
      <c r="T17" s="20" t="n">
        <v>1089611389166.85</v>
      </c>
      <c r="U17" s="17" t="n">
        <v>2123444</v>
      </c>
      <c r="V17" s="21" t="inlineStr">
        <is>
          <t>2026-10-29</t>
        </is>
      </c>
    </row>
    <row r="18">
      <c r="A18" s="12" t="inlineStr">
        <is>
          <t>COST</t>
        </is>
      </c>
      <c r="B18" s="12" t="inlineStr">
        <is>
          <t>COSTCO WHOLESALE CORP</t>
        </is>
      </c>
      <c r="C18" s="12" t="inlineStr">
        <is>
          <t>Consumer Staples</t>
        </is>
      </c>
      <c r="D18" s="13" t="n">
        <v>935.6799999999999</v>
      </c>
      <c r="E18" s="14" t="n">
        <v>0.01316701</v>
      </c>
      <c r="F18" s="14" t="n">
        <v>0.01199451</v>
      </c>
      <c r="G18" s="13" t="n">
        <v>1074.228515625</v>
      </c>
      <c r="H18" s="14">
        <f>(G18-D18)/D18</f>
        <v/>
      </c>
      <c r="I18" s="13">
        <f>D18*0.93</f>
        <v/>
      </c>
      <c r="J18" s="13">
        <f>D18-I18</f>
        <v/>
      </c>
      <c r="K18" s="13">
        <f>G18-D18</f>
        <v/>
      </c>
      <c r="L18" s="15">
        <f>IF(J18&gt;0, K18/J18, 0)</f>
        <v/>
      </c>
      <c r="M18" s="16">
        <f>IF(L18&gt;=3.0, "STRONG BUY (3:1+)", IF(L18&gt;=2.0, "QUALIFIED (2:1+)", "MONITOR"))</f>
        <v/>
      </c>
      <c r="N18" s="17" t="n">
        <v>30</v>
      </c>
      <c r="O18" s="17" t="n">
        <v>13</v>
      </c>
      <c r="P18" s="17" t="n">
        <v>2</v>
      </c>
      <c r="Q18" s="14">
        <f>IF((N18+O18+P18)&gt;0, N18/(N18+O18+P18), 0)</f>
        <v/>
      </c>
      <c r="R18" s="18" t="n">
        <v>28.4021118413964</v>
      </c>
      <c r="S18" s="19" t="n">
        <v>45.07345741745105</v>
      </c>
      <c r="T18" s="20" t="n">
        <v>414727996160</v>
      </c>
      <c r="U18" s="17" t="n">
        <v>1802700</v>
      </c>
      <c r="V18" s="21" t="inlineStr">
        <is>
          <t>2026-12-11</t>
        </is>
      </c>
    </row>
    <row r="19">
      <c r="A19" s="12" t="inlineStr">
        <is>
          <t>V</t>
        </is>
      </c>
      <c r="B19" s="12" t="inlineStr">
        <is>
          <t>VISA INC-CLASS A SHARES</t>
        </is>
      </c>
      <c r="C19" s="12" t="inlineStr">
        <is>
          <t>Financials</t>
        </is>
      </c>
      <c r="D19" s="13" t="n">
        <v>370.64</v>
      </c>
      <c r="E19" s="14" t="n">
        <v>0.002515485</v>
      </c>
      <c r="F19" s="14" t="n">
        <v>0.01300973</v>
      </c>
      <c r="G19" s="13" t="n">
        <v>424.3902587890625</v>
      </c>
      <c r="H19" s="14">
        <f>(G19-D19)/D19</f>
        <v/>
      </c>
      <c r="I19" s="13">
        <f>D19*0.93</f>
        <v/>
      </c>
      <c r="J19" s="13">
        <f>D19-I19</f>
        <v/>
      </c>
      <c r="K19" s="13">
        <f>G19-D19</f>
        <v/>
      </c>
      <c r="L19" s="15">
        <f>IF(J19&gt;0, K19/J19, 0)</f>
        <v/>
      </c>
      <c r="M19" s="16">
        <f>IF(L19&gt;=3.0, "STRONG BUY (3:1+)", IF(L19&gt;=2.0, "QUALIFIED (2:1+)", "MONITOR"))</f>
        <v/>
      </c>
      <c r="N19" s="17" t="n">
        <v>45</v>
      </c>
      <c r="O19" s="17" t="n">
        <v>3</v>
      </c>
      <c r="P19" s="17" t="n">
        <v>0</v>
      </c>
      <c r="Q19" s="14">
        <f>IF((N19+O19+P19)&gt;0, N19/(N19+O19+P19), 0)</f>
        <v/>
      </c>
      <c r="R19" s="18" t="n">
        <v>62.35974440012697</v>
      </c>
      <c r="S19" s="19" t="n">
        <v>31.12743601096157</v>
      </c>
      <c r="T19" s="20" t="n">
        <v>692026707479.2531</v>
      </c>
      <c r="U19" s="17" t="n">
        <v>3532182</v>
      </c>
      <c r="V19" s="21" t="inlineStr">
        <is>
          <t>2026-10-28</t>
        </is>
      </c>
    </row>
    <row r="20">
      <c r="A20" s="12" t="inlineStr">
        <is>
          <t>JPM</t>
        </is>
      </c>
      <c r="B20" s="12" t="inlineStr">
        <is>
          <t>JPMORGAN CHASE &amp; CO</t>
        </is>
      </c>
      <c r="C20" s="12" t="inlineStr">
        <is>
          <t>Financials</t>
        </is>
      </c>
      <c r="D20" s="13" t="n">
        <v>331.28</v>
      </c>
      <c r="E20" s="14" t="n">
        <v>0.001662988</v>
      </c>
      <c r="F20" s="14" t="n">
        <v>-0.01104544</v>
      </c>
      <c r="G20" s="13" t="n">
        <v>371.915771484375</v>
      </c>
      <c r="H20" s="14">
        <f>(G20-D20)/D20</f>
        <v/>
      </c>
      <c r="I20" s="13">
        <f>D20*0.93</f>
        <v/>
      </c>
      <c r="J20" s="13">
        <f>D20-I20</f>
        <v/>
      </c>
      <c r="K20" s="13">
        <f>G20-D20</f>
        <v/>
      </c>
      <c r="L20" s="15">
        <f>IF(J20&gt;0, K20/J20, 0)</f>
        <v/>
      </c>
      <c r="M20" s="16">
        <f>IF(L20&gt;=3.0, "STRONG BUY (3:1+)", IF(L20&gt;=2.0, "QUALIFIED (2:1+)", "MONITOR"))</f>
        <v/>
      </c>
      <c r="N20" s="17" t="n">
        <v>17</v>
      </c>
      <c r="O20" s="17" t="n">
        <v>15</v>
      </c>
      <c r="P20" s="17" t="n">
        <v>1</v>
      </c>
      <c r="Q20" s="14">
        <f>IF((N20+O20+P20)&gt;0, N20/(N20+O20+P20), 0)</f>
        <v/>
      </c>
      <c r="R20" s="18" t="n">
        <v>18.4323841277336</v>
      </c>
      <c r="S20" s="19" t="n">
        <v>14.0910028673837</v>
      </c>
      <c r="T20" s="20" t="n">
        <v>880603922679.5999</v>
      </c>
      <c r="U20" s="17" t="n">
        <v>5835540</v>
      </c>
      <c r="V20" s="21" t="inlineStr">
        <is>
          <t>2026-10-13</t>
        </is>
      </c>
    </row>
    <row r="21">
      <c r="A21" s="12" t="inlineStr">
        <is>
          <t>JNJ</t>
        </is>
      </c>
      <c r="B21" s="12" t="inlineStr">
        <is>
          <t>JOHNSON &amp; JOHNSON</t>
        </is>
      </c>
      <c r="C21" s="12" t="inlineStr">
        <is>
          <t>Health Care</t>
        </is>
      </c>
      <c r="D21" s="13" t="n">
        <v>254.78</v>
      </c>
      <c r="E21" s="14" t="n">
        <v>0.007314277</v>
      </c>
      <c r="F21" s="14" t="n">
        <v>-0.04780058</v>
      </c>
      <c r="G21" s="13" t="n">
        <v>284.0400085449219</v>
      </c>
      <c r="H21" s="14">
        <f>(G21-D21)/D21</f>
        <v/>
      </c>
      <c r="I21" s="13">
        <f>D21*0.93</f>
        <v/>
      </c>
      <c r="J21" s="13">
        <f>D21-I21</f>
        <v/>
      </c>
      <c r="K21" s="13">
        <f>G21-D21</f>
        <v/>
      </c>
      <c r="L21" s="15">
        <f>IF(J21&gt;0, K21/J21, 0)</f>
        <v/>
      </c>
      <c r="M21" s="16">
        <f>IF(L21&gt;=3.0, "STRONG BUY (3:1+)", IF(L21&gt;=2.0, "QUALIFIED (2:1+)", "MONITOR"))</f>
        <v/>
      </c>
      <c r="N21" s="17" t="n">
        <v>20</v>
      </c>
      <c r="O21" s="17" t="n">
        <v>7</v>
      </c>
      <c r="P21" s="17" t="n">
        <v>0</v>
      </c>
      <c r="Q21" s="14">
        <f>IF((N21+O21+P21)&gt;0, N21/(N21+O21+P21), 0)</f>
        <v/>
      </c>
      <c r="R21" s="18" t="n">
        <v>25.74215021658794</v>
      </c>
      <c r="S21" s="19" t="n">
        <v>27.48902847887283</v>
      </c>
      <c r="T21" s="20" t="n">
        <v>613993964543.6599</v>
      </c>
      <c r="U21" s="17" t="n">
        <v>5466086</v>
      </c>
      <c r="V21" s="21" t="inlineStr">
        <is>
          <t>2026-10-13</t>
        </is>
      </c>
    </row>
    <row r="22">
      <c r="A22" s="12" t="inlineStr">
        <is>
          <t>MSFT</t>
        </is>
      </c>
      <c r="B22" s="12" t="inlineStr">
        <is>
          <t>MICROSOFT CORP</t>
        </is>
      </c>
      <c r="C22" s="12" t="inlineStr">
        <is>
          <t>Information Technology</t>
        </is>
      </c>
      <c r="D22" s="13" t="n">
        <v>529.3</v>
      </c>
      <c r="E22" s="14" t="n">
        <v>0.007844929</v>
      </c>
      <c r="F22" s="14" t="n">
        <v>0.03996385</v>
      </c>
      <c r="G22" s="13" t="n">
        <v>580.3292846679688</v>
      </c>
      <c r="H22" s="14">
        <f>(G22-D22)/D22</f>
        <v/>
      </c>
      <c r="I22" s="13">
        <f>D22*0.93</f>
        <v/>
      </c>
      <c r="J22" s="13">
        <f>D22-I22</f>
        <v/>
      </c>
      <c r="K22" s="13">
        <f>G22-D22</f>
        <v/>
      </c>
      <c r="L22" s="15">
        <f>IF(J22&gt;0, K22/J22, 0)</f>
        <v/>
      </c>
      <c r="M22" s="16">
        <f>IF(L22&gt;=3.0, "STRONG BUY (3:1+)", IF(L22&gt;=2.0, "QUALIFIED (2:1+)", "MONITOR"))</f>
        <v/>
      </c>
      <c r="N22" s="17" t="n">
        <v>70</v>
      </c>
      <c r="O22" s="17" t="n">
        <v>2</v>
      </c>
      <c r="P22" s="17" t="n">
        <v>0</v>
      </c>
      <c r="Q22" s="14">
        <f>IF((N22+O22+P22)&gt;0, N22/(N22+O22+P22), 0)</f>
        <v/>
      </c>
      <c r="R22" s="18" t="n">
        <v>34.03862745048138</v>
      </c>
      <c r="S22" s="19" t="n">
        <v>31.89910239509463</v>
      </c>
      <c r="T22" s="20" t="n">
        <v>3930341228386.3</v>
      </c>
      <c r="U22" s="17" t="n">
        <v>20943282</v>
      </c>
      <c r="V22" s="21" t="inlineStr">
        <is>
          <t>2026-10-29</t>
        </is>
      </c>
    </row>
    <row r="23">
      <c r="A23" s="12" t="inlineStr">
        <is>
          <t>CVX</t>
        </is>
      </c>
      <c r="B23" s="12" t="inlineStr">
        <is>
          <t>CHEVRON CORP</t>
        </is>
      </c>
      <c r="C23" s="12" t="inlineStr">
        <is>
          <t>Energy</t>
        </is>
      </c>
      <c r="D23" s="13" t="n">
        <v>207.58</v>
      </c>
      <c r="E23" s="14" t="n">
        <v>0.005376084</v>
      </c>
      <c r="F23" s="14" t="n">
        <v>0.01565711</v>
      </c>
      <c r="G23" s="13" t="n">
        <v>224.0740814208984</v>
      </c>
      <c r="H23" s="14">
        <f>(G23-D23)/D23</f>
        <v/>
      </c>
      <c r="I23" s="13">
        <f>D23*0.93</f>
        <v/>
      </c>
      <c r="J23" s="13">
        <f>D23-I23</f>
        <v/>
      </c>
      <c r="K23" s="13">
        <f>G23-D23</f>
        <v/>
      </c>
      <c r="L23" s="15">
        <f>IF(J23&gt;0, K23/J23, 0)</f>
        <v/>
      </c>
      <c r="M23" s="16">
        <f>IF(L23&gt;=3.0, "STRONG BUY (3:1+)", IF(L23&gt;=2.0, "QUALIFIED (2:1+)", "MONITOR"))</f>
        <v/>
      </c>
      <c r="N23" s="17" t="n">
        <v>25</v>
      </c>
      <c r="O23" s="17" t="n">
        <v>5</v>
      </c>
      <c r="P23" s="17" t="n">
        <v>1</v>
      </c>
      <c r="Q23" s="14">
        <f>IF((N23+O23+P23)&gt;0, N23/(N23+O23+P23), 0)</f>
        <v/>
      </c>
      <c r="R23" s="18" t="n">
        <v>12.24561403508772</v>
      </c>
      <c r="S23" s="19" t="n">
        <v>20.25740526150474</v>
      </c>
      <c r="T23" s="20" t="n">
        <v>410130601056.92</v>
      </c>
      <c r="U23" s="17" t="n">
        <v>5380136</v>
      </c>
      <c r="V23" s="21" t="inlineStr">
        <is>
          <t>2026-10-30</t>
        </is>
      </c>
    </row>
    <row r="24">
      <c r="A24" s="12" t="inlineStr">
        <is>
          <t>META</t>
        </is>
      </c>
      <c r="B24" s="12" t="inlineStr">
        <is>
          <t>META PLATFORMS INC-CLASS A</t>
        </is>
      </c>
      <c r="C24" s="12" t="inlineStr">
        <is>
          <t>Communication Services</t>
        </is>
      </c>
      <c r="D24" s="13" t="n">
        <v>738.88</v>
      </c>
      <c r="E24" s="14" t="n">
        <v>-0.004070629</v>
      </c>
      <c r="F24" s="14" t="n">
        <v>0.0001218208</v>
      </c>
      <c r="G24" s="13" t="n">
        <v>794.490966796875</v>
      </c>
      <c r="H24" s="14">
        <f>(G24-D24)/D24</f>
        <v/>
      </c>
      <c r="I24" s="13">
        <f>D24*0.93</f>
        <v/>
      </c>
      <c r="J24" s="13">
        <f>D24-I24</f>
        <v/>
      </c>
      <c r="K24" s="13">
        <f>G24-D24</f>
        <v/>
      </c>
      <c r="L24" s="15">
        <f>IF(J24&gt;0, K24/J24, 0)</f>
        <v/>
      </c>
      <c r="M24" s="16">
        <f>IF(L24&gt;=3.0, "STRONG BUY (3:1+)", IF(L24&gt;=2.0, "QUALIFIED (2:1+)", "MONITOR"))</f>
        <v/>
      </c>
      <c r="N24" s="17" t="n">
        <v>72</v>
      </c>
      <c r="O24" s="17" t="n">
        <v>6</v>
      </c>
      <c r="P24" s="17" t="n">
        <v>1</v>
      </c>
      <c r="Q24" s="14">
        <f>IF((N24+O24+P24)&gt;0, N24/(N24+O24+P24), 0)</f>
        <v/>
      </c>
      <c r="R24" s="18" t="n">
        <v>29.84849580640424</v>
      </c>
      <c r="S24" s="19" t="n">
        <v>21.87637994597322</v>
      </c>
      <c r="T24" s="20" t="n">
        <v>1882301399528</v>
      </c>
      <c r="U24" s="17" t="n">
        <v>12122803</v>
      </c>
      <c r="V24" s="21" t="inlineStr">
        <is>
          <t>2026-10-29</t>
        </is>
      </c>
    </row>
    <row r="25">
      <c r="A25" s="12" t="inlineStr">
        <is>
          <t>ABBV</t>
        </is>
      </c>
      <c r="B25" s="12" t="inlineStr">
        <is>
          <t>ABBVIE INC</t>
        </is>
      </c>
      <c r="C25" s="12" t="inlineStr">
        <is>
          <t>Health Care</t>
        </is>
      </c>
      <c r="D25" s="13" t="n">
        <v>266.69</v>
      </c>
      <c r="E25" s="14" t="n">
        <v>0.003499398</v>
      </c>
      <c r="F25" s="14" t="n">
        <v>0.01291352</v>
      </c>
      <c r="G25" s="13" t="n">
        <v>281.4482727050781</v>
      </c>
      <c r="H25" s="14">
        <f>(G25-D25)/D25</f>
        <v/>
      </c>
      <c r="I25" s="13">
        <f>D25*0.93</f>
        <v/>
      </c>
      <c r="J25" s="13">
        <f>D25-I25</f>
        <v/>
      </c>
      <c r="K25" s="13">
        <f>G25-D25</f>
        <v/>
      </c>
      <c r="L25" s="15">
        <f>IF(J25&gt;0, K25/J25, 0)</f>
        <v/>
      </c>
      <c r="M25" s="16">
        <f>IF(L25&gt;=3.0, "STRONG BUY (3:1+)", IF(L25&gt;=2.0, "QUALIFIED (2:1+)", "MONITOR"))</f>
        <v/>
      </c>
      <c r="N25" s="17" t="n">
        <v>27</v>
      </c>
      <c r="O25" s="17" t="n">
        <v>6</v>
      </c>
      <c r="P25" s="17" t="n">
        <v>0</v>
      </c>
      <c r="Q25" s="14">
        <f>IF((N25+O25+P25)&gt;0, N25/(N25+O25+P25), 0)</f>
        <v/>
      </c>
      <c r="R25" s="18" t="n">
        <v>0</v>
      </c>
      <c r="S25" s="19" t="n">
        <v>26.27048745760376</v>
      </c>
      <c r="T25" s="20" t="n">
        <v>471272508736.65</v>
      </c>
      <c r="U25" s="17" t="n">
        <v>4411586</v>
      </c>
      <c r="V25" s="21" t="inlineStr">
        <is>
          <t>2026-10-30</t>
        </is>
      </c>
    </row>
    <row r="26">
      <c r="A26" s="12" t="inlineStr">
        <is>
          <t>XOM</t>
        </is>
      </c>
      <c r="B26" s="12" t="inlineStr">
        <is>
          <t>EXXONMOBIL HOLDINGS CORP</t>
        </is>
      </c>
      <c r="C26" s="12" t="inlineStr">
        <is>
          <t>Energy</t>
        </is>
      </c>
      <c r="D26" s="13" t="n">
        <v>164.48</v>
      </c>
      <c r="E26" s="14" t="n">
        <v>0.002926829</v>
      </c>
      <c r="F26" s="14" t="n">
        <v>0.01939882</v>
      </c>
      <c r="G26" s="13" t="n">
        <v>172.4400024414062</v>
      </c>
      <c r="H26" s="14">
        <f>(G26-D26)/D26</f>
        <v/>
      </c>
      <c r="I26" s="13">
        <f>D26*0.93</f>
        <v/>
      </c>
      <c r="J26" s="13">
        <f>D26-I26</f>
        <v/>
      </c>
      <c r="K26" s="13">
        <f>G26-D26</f>
        <v/>
      </c>
      <c r="L26" s="15">
        <f>IF(J26&gt;0, K26/J26, 0)</f>
        <v/>
      </c>
      <c r="M26" s="16">
        <f>IF(L26&gt;=3.0, "STRONG BUY (3:1+)", IF(L26&gt;=2.0, "QUALIFIED (2:1+)", "MONITOR"))</f>
        <v/>
      </c>
      <c r="N26" s="17" t="n">
        <v>12</v>
      </c>
      <c r="O26" s="17" t="n">
        <v>19</v>
      </c>
      <c r="P26" s="17" t="n">
        <v>0</v>
      </c>
      <c r="Q26" s="14">
        <f>IF((N26+O26+P26)&gt;0, N26/(N26+O26+P26), 0)</f>
        <v/>
      </c>
      <c r="R26" s="18" t="n">
        <v>12.5512239138806</v>
      </c>
      <c r="S26" s="19" t="n">
        <v>19.84385459737762</v>
      </c>
      <c r="T26" s="20" t="n">
        <v>681680050508.7999</v>
      </c>
      <c r="U26" s="17" t="n">
        <v>9275314</v>
      </c>
      <c r="V26" s="21" t="inlineStr">
        <is>
          <t>2026-11-27</t>
        </is>
      </c>
    </row>
    <row r="27">
      <c r="A27" s="12" t="inlineStr">
        <is>
          <t>TSLA</t>
        </is>
      </c>
      <c r="B27" s="12" t="inlineStr">
        <is>
          <t>TESLA INC</t>
        </is>
      </c>
      <c r="C27" s="12" t="inlineStr">
        <is>
          <t>Consumer Discretionary</t>
        </is>
      </c>
      <c r="D27" s="13" t="n">
        <v>380.68</v>
      </c>
      <c r="E27" s="14" t="n">
        <v>0.005148787</v>
      </c>
      <c r="F27" s="14" t="n">
        <v>0.07890261999999999</v>
      </c>
      <c r="G27" s="13" t="n">
        <v>393.6597595214844</v>
      </c>
      <c r="H27" s="14">
        <f>(G27-D27)/D27</f>
        <v/>
      </c>
      <c r="I27" s="13">
        <f>D27*0.93</f>
        <v/>
      </c>
      <c r="J27" s="13">
        <f>D27-I27</f>
        <v/>
      </c>
      <c r="K27" s="13">
        <f>G27-D27</f>
        <v/>
      </c>
      <c r="L27" s="15">
        <f>IF(J27&gt;0, K27/J27, 0)</f>
        <v/>
      </c>
      <c r="M27" s="16">
        <f>IF(L27&gt;=3.0, "STRONG BUY (3:1+)", IF(L27&gt;=2.0, "QUALIFIED (2:1+)", "MONITOR"))</f>
        <v/>
      </c>
      <c r="N27" s="17" t="n">
        <v>29</v>
      </c>
      <c r="O27" s="17" t="n">
        <v>24</v>
      </c>
      <c r="P27" s="17" t="n">
        <v>8</v>
      </c>
      <c r="Q27" s="14">
        <f>IF((N27+O27+P27)&gt;0, N27/(N27+O27+P27), 0)</f>
        <v/>
      </c>
      <c r="R27" s="18" t="n">
        <v>4.636600638354896</v>
      </c>
      <c r="S27" s="19" t="n">
        <v>380.8262299480813</v>
      </c>
      <c r="T27" s="20" t="n">
        <v>1503513701947.92</v>
      </c>
      <c r="U27" s="17" t="n">
        <v>27600022</v>
      </c>
      <c r="V27" s="21" t="inlineStr">
        <is>
          <t>2026-10-21</t>
        </is>
      </c>
    </row>
    <row r="28">
      <c r="A28" s="12" t="inlineStr">
        <is>
          <t>AAPL</t>
        </is>
      </c>
      <c r="B28" s="12" t="inlineStr">
        <is>
          <t>APPLE INC</t>
        </is>
      </c>
      <c r="C28" s="12" t="inlineStr">
        <is>
          <t>Information Technology</t>
        </is>
      </c>
      <c r="D28" s="13" t="n">
        <v>333.63</v>
      </c>
      <c r="E28" s="14" t="n">
        <v>0.002222957</v>
      </c>
      <c r="F28" s="14" t="n">
        <v>0.01284153</v>
      </c>
      <c r="G28" s="13" t="n">
        <v>333.6066589355469</v>
      </c>
      <c r="H28" s="14">
        <f>(G28-D28)/D28</f>
        <v/>
      </c>
      <c r="I28" s="13">
        <f>D28*0.93</f>
        <v/>
      </c>
      <c r="J28" s="13">
        <f>D28-I28</f>
        <v/>
      </c>
      <c r="K28" s="13">
        <f>G28-D28</f>
        <v/>
      </c>
      <c r="L28" s="15">
        <f>IF(J28&gt;0, K28/J28, 0)</f>
        <v/>
      </c>
      <c r="M28" s="16">
        <f>IF(L28&gt;=3.0, "STRONG BUY (3:1+)", IF(L28&gt;=2.0, "QUALIFIED (2:1+)", "MONITOR"))</f>
        <v/>
      </c>
      <c r="N28" s="17" t="n">
        <v>33</v>
      </c>
      <c r="O28" s="17" t="n">
        <v>17</v>
      </c>
      <c r="P28" s="17" t="n">
        <v>6</v>
      </c>
      <c r="Q28" s="14">
        <f>IF((N28+O28+P28)&gt;0, N28/(N28+O28+P28), 0)</f>
        <v/>
      </c>
      <c r="R28" s="18" t="n">
        <v>148.7510816267667</v>
      </c>
      <c r="S28" s="19" t="n">
        <v>38.260321660873</v>
      </c>
      <c r="T28" s="20" t="n">
        <v>4869056273400</v>
      </c>
      <c r="U28" s="17" t="n">
        <v>29570995</v>
      </c>
      <c r="V28" s="21" t="inlineStr">
        <is>
          <t>2026-10-30</t>
        </is>
      </c>
    </row>
    <row r="29">
      <c r="A29" s="12" t="inlineStr">
        <is>
          <t>AMD</t>
        </is>
      </c>
      <c r="B29" s="12" t="inlineStr">
        <is>
          <t>ADVANCED MICRO DEVICES</t>
        </is>
      </c>
      <c r="C29" s="12" t="inlineStr">
        <is>
          <t>Information Technology</t>
        </is>
      </c>
      <c r="D29" s="13" t="n">
        <v>649.42</v>
      </c>
      <c r="E29" s="14" t="n">
        <v>0.02796992</v>
      </c>
      <c r="F29" s="14" t="n">
        <v>0.06888095</v>
      </c>
      <c r="G29" s="13" t="n">
        <v>648.9697875976562</v>
      </c>
      <c r="H29" s="14">
        <f>(G29-D29)/D29</f>
        <v/>
      </c>
      <c r="I29" s="13">
        <f>D29*0.93</f>
        <v/>
      </c>
      <c r="J29" s="13">
        <f>D29-I29</f>
        <v/>
      </c>
      <c r="K29" s="13">
        <f>G29-D29</f>
        <v/>
      </c>
      <c r="L29" s="15">
        <f>IF(J29&gt;0, K29/J29, 0)</f>
        <v/>
      </c>
      <c r="M29" s="16">
        <f>IF(L29&gt;=3.0, "STRONG BUY (3:1+)", IF(L29&gt;=2.0, "QUALIFIED (2:1+)", "MONITOR"))</f>
        <v/>
      </c>
      <c r="N29" s="17" t="n">
        <v>56</v>
      </c>
      <c r="O29" s="17" t="n">
        <v>12</v>
      </c>
      <c r="P29" s="17" t="n">
        <v>0</v>
      </c>
      <c r="Q29" s="14">
        <f>IF((N29+O29+P29)&gt;0, N29/(N29+O29+P29), 0)</f>
        <v/>
      </c>
      <c r="R29" s="18" t="n">
        <v>10.14114698673644</v>
      </c>
      <c r="S29" s="19" t="n">
        <v>180.3158019725165</v>
      </c>
      <c r="T29" s="20" t="n">
        <v>1060161941775.64</v>
      </c>
      <c r="U29" s="17" t="n">
        <v>24153966</v>
      </c>
      <c r="V29" s="21" t="inlineStr">
        <is>
          <t>2026-11-04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123" customWidth="1" min="1" max="1"/>
    <col width="15" customWidth="1" min="2" max="2"/>
    <col width="15" customWidth="1" min="3" max="3"/>
    <col width="15" customWidth="1" min="4" max="4"/>
    <col width="18" customWidth="1" min="5" max="5"/>
    <col width="24" customWidth="1" min="6" max="6"/>
    <col width="16" customWidth="1" min="7" max="7"/>
    <col width="20" customWidth="1" min="8" max="8"/>
    <col width="21" customWidth="1" min="9" max="9"/>
    <col width="23" customWidth="1" min="10" max="10"/>
    <col width="18" customWidth="1" min="11" max="11"/>
    <col width="26" customWidth="1" min="12" max="12"/>
  </cols>
  <sheetData>
    <row r="1">
      <c r="A1" s="1" t="inlineStr">
        <is>
          <t>DALLAS COLLEGE 20% POSITION SIZING &amp; COMPOUNDING CALCULATOR</t>
        </is>
      </c>
    </row>
    <row r="2">
      <c r="A2" s="2" t="inlineStr">
        <is>
          <t>Enforces the mandatory 20% portfolio entry limit. Change the Total Portfolio Cash below to recalculate all sizing clips.</t>
        </is>
      </c>
    </row>
    <row r="3"/>
    <row r="4">
      <c r="A4" s="22" t="inlineStr">
        <is>
          <t>TOTAL PORTFOLIO CASH ($):</t>
        </is>
      </c>
      <c r="B4" s="23" t="n">
        <v>1000000</v>
      </c>
    </row>
    <row r="5">
      <c r="A5" s="22" t="inlineStr">
        <is>
          <t>MAX 20% ALLOCATION CEILING:</t>
        </is>
      </c>
      <c r="B5" s="24">
        <f>B4*0.20</f>
        <v/>
      </c>
    </row>
    <row r="6">
      <c r="A6" s="22" t="inlineStr">
        <is>
          <t>PORTFOLIO RISK BUDGET (2% MAX):</t>
        </is>
      </c>
      <c r="B6" s="25">
        <f>B4*0.02</f>
        <v/>
      </c>
    </row>
    <row r="7"/>
    <row r="8">
      <c r="A8" s="11" t="inlineStr">
        <is>
          <t>SLOT #</t>
        </is>
      </c>
      <c r="B8" s="11" t="inlineStr">
        <is>
          <t>TICKER</t>
        </is>
      </c>
      <c r="C8" s="11" t="inlineStr">
        <is>
          <t>ENTRY PRICE</t>
        </is>
      </c>
      <c r="D8" s="11" t="inlineStr">
        <is>
          <t>TARGET PRICE</t>
        </is>
      </c>
      <c r="E8" s="11" t="inlineStr">
        <is>
          <t>STOP LOSS PRICE</t>
        </is>
      </c>
      <c r="F8" s="11" t="inlineStr">
        <is>
          <t>ALLOCATED $ (20% MAX)</t>
        </is>
      </c>
      <c r="G8" s="11" t="inlineStr">
        <is>
          <t>SHARES TO BUY</t>
        </is>
      </c>
      <c r="H8" s="11" t="inlineStr">
        <is>
          <t>ACTUAL POSITION $</t>
        </is>
      </c>
      <c r="I8" s="11" t="inlineStr">
        <is>
          <t>PORTFOLIO WEIGHT %</t>
        </is>
      </c>
      <c r="J8" s="11" t="inlineStr">
        <is>
          <t>MAX RISK $ (7% STOP)</t>
        </is>
      </c>
      <c r="K8" s="11" t="inlineStr">
        <is>
          <t>TARGET PROFIT $</t>
        </is>
      </c>
      <c r="L8" s="11" t="inlineStr">
        <is>
          <t>REBALANCED CASH BALANCE</t>
        </is>
      </c>
    </row>
    <row r="9">
      <c r="A9" s="21" t="inlineStr">
        <is>
          <t>Position 1</t>
        </is>
      </c>
      <c r="B9" s="21" t="inlineStr">
        <is>
          <t>NVDA</t>
        </is>
      </c>
      <c r="C9" s="26">
        <f>'Remote Live Screener'!D5</f>
        <v/>
      </c>
      <c r="D9" s="26">
        <f>'Remote Live Screener'!G5</f>
        <v/>
      </c>
      <c r="E9" s="26">
        <f>'Remote Live Screener'!I5</f>
        <v/>
      </c>
      <c r="F9" s="26">
        <f>$B$5</f>
        <v/>
      </c>
      <c r="G9" s="27">
        <f>INT(F9/C9)</f>
        <v/>
      </c>
      <c r="H9" s="26">
        <f>G9*C9</f>
        <v/>
      </c>
      <c r="I9" s="8">
        <f>H9/$B$4</f>
        <v/>
      </c>
      <c r="J9" s="26">
        <f>G9*(C9-E9)</f>
        <v/>
      </c>
      <c r="K9" s="26">
        <f>G9*(D9-C9)</f>
        <v/>
      </c>
      <c r="L9" s="26">
        <f>$B$4+K9</f>
        <v/>
      </c>
    </row>
    <row r="10">
      <c r="A10" s="21" t="inlineStr">
        <is>
          <t>Position 2</t>
        </is>
      </c>
      <c r="B10" s="21" t="inlineStr">
        <is>
          <t>AVGO</t>
        </is>
      </c>
      <c r="C10" s="26">
        <f>'Remote Live Screener'!D6</f>
        <v/>
      </c>
      <c r="D10" s="26">
        <f>'Remote Live Screener'!G6</f>
        <v/>
      </c>
      <c r="E10" s="26">
        <f>'Remote Live Screener'!I6</f>
        <v/>
      </c>
      <c r="F10" s="26">
        <f>$B$5</f>
        <v/>
      </c>
      <c r="G10" s="27">
        <f>INT(F10/C10)</f>
        <v/>
      </c>
      <c r="H10" s="26">
        <f>G10*C10</f>
        <v/>
      </c>
      <c r="I10" s="8">
        <f>H10/$B$4</f>
        <v/>
      </c>
      <c r="J10" s="26">
        <f>G10*(C10-E10)</f>
        <v/>
      </c>
      <c r="K10" s="26">
        <f>G10*(D10-C10)</f>
        <v/>
      </c>
      <c r="L10" s="26">
        <f>$B$4+K10</f>
        <v/>
      </c>
    </row>
    <row r="11">
      <c r="A11" s="21" t="inlineStr">
        <is>
          <t>Position 3</t>
        </is>
      </c>
      <c r="B11" s="21" t="inlineStr">
        <is>
          <t>LLY</t>
        </is>
      </c>
      <c r="C11" s="26">
        <f>'Remote Live Screener'!D7</f>
        <v/>
      </c>
      <c r="D11" s="26">
        <f>'Remote Live Screener'!G7</f>
        <v/>
      </c>
      <c r="E11" s="26">
        <f>'Remote Live Screener'!I7</f>
        <v/>
      </c>
      <c r="F11" s="26">
        <f>$B$5</f>
        <v/>
      </c>
      <c r="G11" s="27">
        <f>INT(F11/C11)</f>
        <v/>
      </c>
      <c r="H11" s="26">
        <f>G11*C11</f>
        <v/>
      </c>
      <c r="I11" s="8">
        <f>H11/$B$4</f>
        <v/>
      </c>
      <c r="J11" s="26">
        <f>G11*(C11-E11)</f>
        <v/>
      </c>
      <c r="K11" s="26">
        <f>G11*(D11-C11)</f>
        <v/>
      </c>
      <c r="L11" s="26">
        <f>$B$4+K11</f>
        <v/>
      </c>
    </row>
    <row r="12">
      <c r="A12" s="21" t="inlineStr">
        <is>
          <t>Position 4</t>
        </is>
      </c>
      <c r="B12" s="21" t="inlineStr">
        <is>
          <t>CAT</t>
        </is>
      </c>
      <c r="C12" s="26">
        <f>'Remote Live Screener'!D8</f>
        <v/>
      </c>
      <c r="D12" s="26">
        <f>'Remote Live Screener'!G8</f>
        <v/>
      </c>
      <c r="E12" s="26">
        <f>'Remote Live Screener'!I8</f>
        <v/>
      </c>
      <c r="F12" s="26">
        <f>$B$5</f>
        <v/>
      </c>
      <c r="G12" s="27">
        <f>INT(F12/C12)</f>
        <v/>
      </c>
      <c r="H12" s="26">
        <f>G12*C12</f>
        <v/>
      </c>
      <c r="I12" s="8">
        <f>H12/$B$4</f>
        <v/>
      </c>
      <c r="J12" s="26">
        <f>G12*(C12-E12)</f>
        <v/>
      </c>
      <c r="K12" s="26">
        <f>G12*(D12-C12)</f>
        <v/>
      </c>
      <c r="L12" s="26">
        <f>$B$4+K12</f>
        <v/>
      </c>
    </row>
    <row r="13">
      <c r="A13" s="21" t="inlineStr">
        <is>
          <t>Position 5</t>
        </is>
      </c>
      <c r="B13" s="21" t="inlineStr">
        <is>
          <t>AMZN</t>
        </is>
      </c>
      <c r="C13" s="26">
        <f>'Remote Live Screener'!D9</f>
        <v/>
      </c>
      <c r="D13" s="26">
        <f>'Remote Live Screener'!G9</f>
        <v/>
      </c>
      <c r="E13" s="26">
        <f>'Remote Live Screener'!I9</f>
        <v/>
      </c>
      <c r="F13" s="26">
        <f>$B$5</f>
        <v/>
      </c>
      <c r="G13" s="27">
        <f>INT(F13/C13)</f>
        <v/>
      </c>
      <c r="H13" s="26">
        <f>G13*C13</f>
        <v/>
      </c>
      <c r="I13" s="8">
        <f>H13/$B$4</f>
        <v/>
      </c>
      <c r="J13" s="26">
        <f>G13*(C13-E13)</f>
        <v/>
      </c>
      <c r="K13" s="26">
        <f>G13*(D13-C13)</f>
        <v/>
      </c>
      <c r="L13" s="26">
        <f>$B$4+K13</f>
        <v/>
      </c>
    </row>
    <row r="14">
      <c r="A14" s="28" t="inlineStr">
        <is>
          <t>TOTAL ALLOCATED</t>
        </is>
      </c>
      <c r="B14" s="28" t="n"/>
      <c r="C14" s="28" t="n"/>
      <c r="D14" s="28" t="n"/>
      <c r="E14" s="28" t="n"/>
      <c r="F14" s="28" t="n"/>
      <c r="G14" s="28" t="n"/>
      <c r="H14" s="29">
        <f>SUM(H9:H13)</f>
        <v/>
      </c>
      <c r="I14" s="30">
        <f>SUM(I9:I13)</f>
        <v/>
      </c>
      <c r="J14" s="29">
        <f>SUM(J9:J13)</f>
        <v/>
      </c>
      <c r="K14" s="29">
        <f>SUM(K9:K13)</f>
        <v/>
      </c>
      <c r="L14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29" customWidth="1" min="2" max="2"/>
    <col width="25" customWidth="1" min="3" max="3"/>
    <col width="13" customWidth="1" min="4" max="4"/>
    <col width="25" customWidth="1" min="5" max="5"/>
    <col width="21" customWidth="1" min="6" max="6"/>
    <col width="15" customWidth="1" min="7" max="7"/>
    <col width="22" customWidth="1" min="8" max="8"/>
    <col width="27" customWidth="1" min="9" max="9"/>
  </cols>
  <sheetData>
    <row r="1">
      <c r="A1" s="1" t="inlineStr">
        <is>
          <t>UPCOMING EARNINGS &amp; CATALYST PIPELINE</t>
        </is>
      </c>
    </row>
    <row r="2">
      <c r="A2" s="2" t="inlineStr">
        <is>
          <t>Tracks stocks approaching earnings catalyst windows for rapid pre-announcement momentum and post-catalyst compounding.</t>
        </is>
      </c>
    </row>
    <row r="3"/>
    <row r="4">
      <c r="A4" s="11" t="inlineStr">
        <is>
          <t>SYMBOL</t>
        </is>
      </c>
      <c r="B4" s="11" t="inlineStr">
        <is>
          <t>COMPANY NAME</t>
        </is>
      </c>
      <c r="C4" s="11" t="inlineStr">
        <is>
          <t>SECTOR</t>
        </is>
      </c>
      <c r="D4" s="11" t="inlineStr">
        <is>
          <t>LAST PRICE</t>
        </is>
      </c>
      <c r="E4" s="11" t="inlineStr">
        <is>
          <t>EXPECTED EARNINGS DATE</t>
        </is>
      </c>
      <c r="F4" s="11" t="inlineStr">
        <is>
          <t>CONSENSUS TARGET</t>
        </is>
      </c>
      <c r="G4" s="11" t="inlineStr">
        <is>
          <t>UPSIDE %</t>
        </is>
      </c>
      <c r="H4" s="11" t="inlineStr">
        <is>
          <t>WALL ST BUY %</t>
        </is>
      </c>
      <c r="I4" s="11" t="inlineStr">
        <is>
          <t>PLAYBOOK CATALYST STATUS</t>
        </is>
      </c>
    </row>
    <row r="5">
      <c r="A5" s="12" t="inlineStr">
        <is>
          <t>JPM</t>
        </is>
      </c>
      <c r="B5" s="12" t="inlineStr">
        <is>
          <t>JPMORGAN CHASE &amp; CO</t>
        </is>
      </c>
      <c r="C5" s="12" t="inlineStr">
        <is>
          <t>Financials</t>
        </is>
      </c>
      <c r="D5" s="13" t="n">
        <v>331.28</v>
      </c>
      <c r="E5" s="21" t="inlineStr">
        <is>
          <t>2026-10-13</t>
        </is>
      </c>
      <c r="F5" s="13" t="n">
        <v>371.915771484375</v>
      </c>
      <c r="G5" s="14">
        <f>(F5-D5)/D5</f>
        <v/>
      </c>
      <c r="H5" s="14" t="n">
        <v>0.5151515151515151</v>
      </c>
      <c r="I5" s="16">
        <f>IF(G5&gt;=0.25, "HIGH CONVICTION CATALYST", IF(G5&gt;=0.10, "MONITORING CATALYST", "SECONDARY"))</f>
        <v/>
      </c>
    </row>
    <row r="6">
      <c r="A6" s="12" t="inlineStr">
        <is>
          <t>UNH</t>
        </is>
      </c>
      <c r="B6" s="12" t="inlineStr">
        <is>
          <t>UNITEDHEALTH GROUP INC</t>
        </is>
      </c>
      <c r="C6" s="12" t="inlineStr">
        <is>
          <t>Health Care</t>
        </is>
      </c>
      <c r="D6" s="13" t="n">
        <v>376.32</v>
      </c>
      <c r="E6" s="21" t="inlineStr">
        <is>
          <t>2026-10-13</t>
        </is>
      </c>
      <c r="F6" s="13" t="n">
        <v>481.1111145019531</v>
      </c>
      <c r="G6" s="14">
        <f>(F6-D6)/D6</f>
        <v/>
      </c>
      <c r="H6" s="14" t="n">
        <v>0.8333333333333334</v>
      </c>
      <c r="I6" s="16">
        <f>IF(G6&gt;=0.25, "HIGH CONVICTION CATALYST", IF(G6&gt;=0.10, "MONITORING CATALYST", "SECONDARY"))</f>
        <v/>
      </c>
    </row>
    <row r="7">
      <c r="A7" s="12" t="inlineStr">
        <is>
          <t>GS</t>
        </is>
      </c>
      <c r="B7" s="12" t="inlineStr">
        <is>
          <t>GOLDMAN SACHS GROUP INC</t>
        </is>
      </c>
      <c r="C7" s="12" t="inlineStr">
        <is>
          <t>Financials</t>
        </is>
      </c>
      <c r="D7" s="13" t="n">
        <v>897.1799999999999</v>
      </c>
      <c r="E7" s="21" t="inlineStr">
        <is>
          <t>2026-10-13</t>
        </is>
      </c>
      <c r="F7" s="13" t="n">
        <v>1123.772705078125</v>
      </c>
      <c r="G7" s="14">
        <f>(F7-D7)/D7</f>
        <v/>
      </c>
      <c r="H7" s="14" t="n">
        <v>0.3928571428571428</v>
      </c>
      <c r="I7" s="16">
        <f>IF(G7&gt;=0.25, "HIGH CONVICTION CATALYST", IF(G7&gt;=0.10, "MONITORING CATALYST", "SECONDARY"))</f>
        <v/>
      </c>
    </row>
    <row r="8">
      <c r="A8" s="12" t="inlineStr">
        <is>
          <t>JNJ</t>
        </is>
      </c>
      <c r="B8" s="12" t="inlineStr">
        <is>
          <t>JOHNSON &amp; JOHNSON</t>
        </is>
      </c>
      <c r="C8" s="12" t="inlineStr">
        <is>
          <t>Health Care</t>
        </is>
      </c>
      <c r="D8" s="13" t="n">
        <v>254.78</v>
      </c>
      <c r="E8" s="21" t="inlineStr">
        <is>
          <t>2026-10-13</t>
        </is>
      </c>
      <c r="F8" s="13" t="n">
        <v>284.0400085449219</v>
      </c>
      <c r="G8" s="14">
        <f>(F8-D8)/D8</f>
        <v/>
      </c>
      <c r="H8" s="14" t="n">
        <v>0.7407407407407407</v>
      </c>
      <c r="I8" s="16">
        <f>IF(G8&gt;=0.25, "HIGH CONVICTION CATALYST", IF(G8&gt;=0.10, "MONITORING CATALYST", "SECONDARY"))</f>
        <v/>
      </c>
    </row>
    <row r="9">
      <c r="A9" s="12" t="inlineStr">
        <is>
          <t>RTX</t>
        </is>
      </c>
      <c r="B9" s="12" t="inlineStr">
        <is>
          <t>RTX CORP</t>
        </is>
      </c>
      <c r="C9" s="12" t="inlineStr">
        <is>
          <t>Industrials</t>
        </is>
      </c>
      <c r="D9" s="13" t="n">
        <v>183.29</v>
      </c>
      <c r="E9" s="21" t="inlineStr">
        <is>
          <t>2026-10-20</t>
        </is>
      </c>
      <c r="F9" s="13" t="n">
        <v>230.5652160644531</v>
      </c>
      <c r="G9" s="14">
        <f>(F9-D9)/D9</f>
        <v/>
      </c>
      <c r="H9" s="14" t="n">
        <v>0.7037037037037037</v>
      </c>
      <c r="I9" s="16">
        <f>IF(G9&gt;=0.25, "HIGH CONVICTION CATALYST", IF(G9&gt;=0.10, "MONITORING CATALYST", "SECONDARY"))</f>
        <v/>
      </c>
    </row>
    <row r="10">
      <c r="A10" s="12" t="inlineStr">
        <is>
          <t>GE</t>
        </is>
      </c>
      <c r="B10" s="12" t="inlineStr">
        <is>
          <t>GENERAL ELECTRIC</t>
        </is>
      </c>
      <c r="C10" s="12" t="inlineStr">
        <is>
          <t>Industrials</t>
        </is>
      </c>
      <c r="D10" s="13" t="n">
        <v>309.39</v>
      </c>
      <c r="E10" s="21" t="inlineStr">
        <is>
          <t>2026-10-20</t>
        </is>
      </c>
      <c r="F10" s="13" t="n">
        <v>393</v>
      </c>
      <c r="G10" s="14">
        <f>(F10-D10)/D10</f>
        <v/>
      </c>
      <c r="H10" s="14" t="n">
        <v>0.8076923076923077</v>
      </c>
      <c r="I10" s="16">
        <f>IF(G10&gt;=0.25, "HIGH CONVICTION CATALYST", IF(G10&gt;=0.10, "MONITORING CATALYST", "SECONDARY"))</f>
        <v/>
      </c>
    </row>
    <row r="11">
      <c r="A11" s="12" t="inlineStr">
        <is>
          <t>TSLA</t>
        </is>
      </c>
      <c r="B11" s="12" t="inlineStr">
        <is>
          <t>TESLA INC</t>
        </is>
      </c>
      <c r="C11" s="12" t="inlineStr">
        <is>
          <t>Consumer Discretionary</t>
        </is>
      </c>
      <c r="D11" s="13" t="n">
        <v>380.68</v>
      </c>
      <c r="E11" s="21" t="inlineStr">
        <is>
          <t>2026-10-21</t>
        </is>
      </c>
      <c r="F11" s="13" t="n">
        <v>393.6597595214844</v>
      </c>
      <c r="G11" s="14">
        <f>(F11-D11)/D11</f>
        <v/>
      </c>
      <c r="H11" s="14" t="n">
        <v>0.4754098360655737</v>
      </c>
      <c r="I11" s="16">
        <f>IF(G11&gt;=0.25, "HIGH CONVICTION CATALYST", IF(G11&gt;=0.10, "MONITORING CATALYST", "SECONDARY"))</f>
        <v/>
      </c>
    </row>
    <row r="12">
      <c r="A12" s="12" t="inlineStr">
        <is>
          <t>LMT</t>
        </is>
      </c>
      <c r="B12" s="12" t="inlineStr">
        <is>
          <t>LOCKHEED MARTIN CORP</t>
        </is>
      </c>
      <c r="C12" s="12" t="inlineStr">
        <is>
          <t>Industrials</t>
        </is>
      </c>
      <c r="D12" s="13" t="n">
        <v>510.12</v>
      </c>
      <c r="E12" s="21" t="inlineStr">
        <is>
          <t>2026-10-22</t>
        </is>
      </c>
      <c r="F12" s="13" t="n">
        <v>638.8261108398438</v>
      </c>
      <c r="G12" s="14">
        <f>(F12-D12)/D12</f>
        <v/>
      </c>
      <c r="H12" s="14" t="n">
        <v>0.4814814814814815</v>
      </c>
      <c r="I12" s="16">
        <f>IF(G12&gt;=0.25, "HIGH CONVICTION CATALYST", IF(G12&gt;=0.10, "MONITORING CATALYST", "SECONDARY"))</f>
        <v/>
      </c>
    </row>
    <row r="13">
      <c r="A13" s="12" t="inlineStr">
        <is>
          <t>V</t>
        </is>
      </c>
      <c r="B13" s="12" t="inlineStr">
        <is>
          <t>VISA INC-CLASS A SHARES</t>
        </is>
      </c>
      <c r="C13" s="12" t="inlineStr">
        <is>
          <t>Financials</t>
        </is>
      </c>
      <c r="D13" s="13" t="n">
        <v>370.64</v>
      </c>
      <c r="E13" s="21" t="inlineStr">
        <is>
          <t>2026-10-28</t>
        </is>
      </c>
      <c r="F13" s="13" t="n">
        <v>424.3902587890625</v>
      </c>
      <c r="G13" s="14">
        <f>(F13-D13)/D13</f>
        <v/>
      </c>
      <c r="H13" s="14" t="n">
        <v>0.9375</v>
      </c>
      <c r="I13" s="16">
        <f>IF(G13&gt;=0.25, "HIGH CONVICTION CATALYST", IF(G13&gt;=0.10, "MONITORING CATALYST", "SECONDARY"))</f>
        <v/>
      </c>
    </row>
    <row r="14">
      <c r="A14" s="12" t="inlineStr">
        <is>
          <t>GOOGL</t>
        </is>
      </c>
      <c r="B14" s="12" t="inlineStr">
        <is>
          <t>ALPHABET INC-CL A</t>
        </is>
      </c>
      <c r="C14" s="12" t="inlineStr">
        <is>
          <t>Communication Services</t>
        </is>
      </c>
      <c r="D14" s="13" t="n">
        <v>347.68</v>
      </c>
      <c r="E14" s="21" t="inlineStr">
        <is>
          <t>2026-10-28</t>
        </is>
      </c>
      <c r="F14" s="13" t="n">
        <v>429.2468566894531</v>
      </c>
      <c r="G14" s="14">
        <f>(F14-D14)/D14</f>
        <v/>
      </c>
      <c r="H14" s="14" t="n">
        <v>0.9014084507042254</v>
      </c>
      <c r="I14" s="16">
        <f>IF(G14&gt;=0.25, "HIGH CONVICTION CATALYST", IF(G14&gt;=0.10, "MONITORING CATALYST", "SECONDARY"))</f>
        <v/>
      </c>
    </row>
    <row r="15">
      <c r="A15" s="12" t="inlineStr">
        <is>
          <t>CAT</t>
        </is>
      </c>
      <c r="B15" s="12" t="inlineStr">
        <is>
          <t>CATERPILLAR INC</t>
        </is>
      </c>
      <c r="C15" s="12" t="inlineStr">
        <is>
          <t>Industrials</t>
        </is>
      </c>
      <c r="D15" s="13" t="n">
        <v>863.4400000000001</v>
      </c>
      <c r="E15" s="21" t="inlineStr">
        <is>
          <t>2026-10-29</t>
        </is>
      </c>
      <c r="F15" s="13" t="n">
        <v>1007.163208007812</v>
      </c>
      <c r="G15" s="14">
        <f>(F15-D15)/D15</f>
        <v/>
      </c>
      <c r="H15" s="14" t="n">
        <v>0.6071428571428571</v>
      </c>
      <c r="I15" s="16">
        <f>IF(G15&gt;=0.25, "HIGH CONVICTION CATALYST", IF(G15&gt;=0.10, "MONITORING CATALYST", "SECONDARY"))</f>
        <v/>
      </c>
    </row>
    <row r="16">
      <c r="A16" s="12" t="inlineStr">
        <is>
          <t>MSFT</t>
        </is>
      </c>
      <c r="B16" s="12" t="inlineStr">
        <is>
          <t>MICROSOFT CORP</t>
        </is>
      </c>
      <c r="C16" s="12" t="inlineStr">
        <is>
          <t>Information Technology</t>
        </is>
      </c>
      <c r="D16" s="13" t="n">
        <v>529.3</v>
      </c>
      <c r="E16" s="21" t="inlineStr">
        <is>
          <t>2026-10-29</t>
        </is>
      </c>
      <c r="F16" s="13" t="n">
        <v>580.3292846679688</v>
      </c>
      <c r="G16" s="14">
        <f>(F16-D16)/D16</f>
        <v/>
      </c>
      <c r="H16" s="14" t="n">
        <v>0.9722222222222222</v>
      </c>
      <c r="I16" s="16">
        <f>IF(G16&gt;=0.25, "HIGH CONVICTION CATALYST", IF(G16&gt;=0.10, "MONITORING CATALYST", "SECONDARY"))</f>
        <v/>
      </c>
    </row>
    <row r="17">
      <c r="A17" s="12" t="inlineStr">
        <is>
          <t>META</t>
        </is>
      </c>
      <c r="B17" s="12" t="inlineStr">
        <is>
          <t>META PLATFORMS INC-CLASS A</t>
        </is>
      </c>
      <c r="C17" s="12" t="inlineStr">
        <is>
          <t>Communication Services</t>
        </is>
      </c>
      <c r="D17" s="13" t="n">
        <v>738.88</v>
      </c>
      <c r="E17" s="21" t="inlineStr">
        <is>
          <t>2026-10-29</t>
        </is>
      </c>
      <c r="F17" s="13" t="n">
        <v>794.490966796875</v>
      </c>
      <c r="G17" s="14">
        <f>(F17-D17)/D17</f>
        <v/>
      </c>
      <c r="H17" s="14" t="n">
        <v>0.9113924050632911</v>
      </c>
      <c r="I17" s="16">
        <f>IF(G17&gt;=0.25, "HIGH CONVICTION CATALYST", IF(G17&gt;=0.10, "MONITORING CATALYST", "SECONDARY"))</f>
        <v/>
      </c>
    </row>
    <row r="18">
      <c r="A18" s="12" t="inlineStr">
        <is>
          <t>LLY</t>
        </is>
      </c>
      <c r="B18" s="12" t="inlineStr">
        <is>
          <t>ELI LILLY &amp; CO</t>
        </is>
      </c>
      <c r="C18" s="12" t="inlineStr">
        <is>
          <t>Health Care</t>
        </is>
      </c>
      <c r="D18" s="13" t="n">
        <v>1157.49</v>
      </c>
      <c r="E18" s="21" t="inlineStr">
        <is>
          <t>2026-10-29</t>
        </is>
      </c>
      <c r="F18" s="13" t="n">
        <v>1346.066040039062</v>
      </c>
      <c r="G18" s="14">
        <f>(F18-D18)/D18</f>
        <v/>
      </c>
      <c r="H18" s="14" t="n">
        <v>0.8571428571428571</v>
      </c>
      <c r="I18" s="16">
        <f>IF(G18&gt;=0.25, "HIGH CONVICTION CATALYST", IF(G18&gt;=0.10, "MONITORING CATALYST", "SECONDARY"))</f>
        <v/>
      </c>
    </row>
    <row r="19">
      <c r="A19" s="12" t="inlineStr">
        <is>
          <t>MA</t>
        </is>
      </c>
      <c r="B19" s="12" t="inlineStr">
        <is>
          <t>MASTERCARD INC - A</t>
        </is>
      </c>
      <c r="C19" s="12" t="inlineStr">
        <is>
          <t>Financials</t>
        </is>
      </c>
      <c r="D19" s="13" t="n">
        <v>566.58</v>
      </c>
      <c r="E19" s="21" t="inlineStr">
        <is>
          <t>2026-10-30</t>
        </is>
      </c>
      <c r="F19" s="13" t="n">
        <v>670.5609741210938</v>
      </c>
      <c r="G19" s="14">
        <f>(F19-D19)/D19</f>
        <v/>
      </c>
      <c r="H19" s="14" t="n">
        <v>0.9387755102040817</v>
      </c>
      <c r="I19" s="16">
        <f>IF(G19&gt;=0.25, "HIGH CONVICTION CATALYST", IF(G19&gt;=0.10, "MONITORING CATALYST", "SECONDARY"))</f>
        <v/>
      </c>
    </row>
    <row r="20">
      <c r="A20" s="12" t="inlineStr">
        <is>
          <t>AAPL</t>
        </is>
      </c>
      <c r="B20" s="12" t="inlineStr">
        <is>
          <t>APPLE INC</t>
        </is>
      </c>
      <c r="C20" s="12" t="inlineStr">
        <is>
          <t>Information Technology</t>
        </is>
      </c>
      <c r="D20" s="13" t="n">
        <v>333.63</v>
      </c>
      <c r="E20" s="21" t="inlineStr">
        <is>
          <t>2026-10-30</t>
        </is>
      </c>
      <c r="F20" s="13" t="n">
        <v>333.6066589355469</v>
      </c>
      <c r="G20" s="14">
        <f>(F20-D20)/D20</f>
        <v/>
      </c>
      <c r="H20" s="14" t="n">
        <v>0.5892857142857143</v>
      </c>
      <c r="I20" s="16">
        <f>IF(G20&gt;=0.25, "HIGH CONVICTION CATALYST", IF(G20&gt;=0.10, "MONITORING CATALYST", "SECONDARY"))</f>
        <v/>
      </c>
    </row>
    <row r="21">
      <c r="A21" s="12" t="inlineStr">
        <is>
          <t>CVX</t>
        </is>
      </c>
      <c r="B21" s="12" t="inlineStr">
        <is>
          <t>CHEVRON CORP</t>
        </is>
      </c>
      <c r="C21" s="12" t="inlineStr">
        <is>
          <t>Energy</t>
        </is>
      </c>
      <c r="D21" s="13" t="n">
        <v>207.58</v>
      </c>
      <c r="E21" s="21" t="inlineStr">
        <is>
          <t>2026-10-30</t>
        </is>
      </c>
      <c r="F21" s="13" t="n">
        <v>224.0740814208984</v>
      </c>
      <c r="G21" s="14">
        <f>(F21-D21)/D21</f>
        <v/>
      </c>
      <c r="H21" s="14" t="n">
        <v>0.8064516129032258</v>
      </c>
      <c r="I21" s="16">
        <f>IF(G21&gt;=0.25, "HIGH CONVICTION CATALYST", IF(G21&gt;=0.10, "MONITORING CATALYST", "SECONDARY"))</f>
        <v/>
      </c>
    </row>
    <row r="22">
      <c r="A22" s="12" t="inlineStr">
        <is>
          <t>AMZN</t>
        </is>
      </c>
      <c r="B22" s="12" t="inlineStr">
        <is>
          <t>AMAZON.COM INC</t>
        </is>
      </c>
      <c r="C22" s="12" t="inlineStr">
        <is>
          <t>Consumer Discretionary</t>
        </is>
      </c>
      <c r="D22" s="13" t="n">
        <v>256.29</v>
      </c>
      <c r="E22" s="21" t="inlineStr">
        <is>
          <t>2026-10-30</t>
        </is>
      </c>
      <c r="F22" s="13" t="n">
        <v>332.6354675292969</v>
      </c>
      <c r="G22" s="14">
        <f>(F22-D22)/D22</f>
        <v/>
      </c>
      <c r="H22" s="14" t="n">
        <v>0.9506172839506173</v>
      </c>
      <c r="I22" s="16">
        <f>IF(G22&gt;=0.25, "HIGH CONVICTION CATALYST", IF(G22&gt;=0.10, "MONITORING CATALYST", "SECONDARY"))</f>
        <v/>
      </c>
    </row>
    <row r="23">
      <c r="A23" s="12" t="inlineStr">
        <is>
          <t>ABBV</t>
        </is>
      </c>
      <c r="B23" s="12" t="inlineStr">
        <is>
          <t>ABBVIE INC</t>
        </is>
      </c>
      <c r="C23" s="12" t="inlineStr">
        <is>
          <t>Health Care</t>
        </is>
      </c>
      <c r="D23" s="13" t="n">
        <v>266.69</v>
      </c>
      <c r="E23" s="21" t="inlineStr">
        <is>
          <t>2026-10-30</t>
        </is>
      </c>
      <c r="F23" s="13" t="n">
        <v>281.4482727050781</v>
      </c>
      <c r="G23" s="14">
        <f>(F23-D23)/D23</f>
        <v/>
      </c>
      <c r="H23" s="14" t="n">
        <v>0.8181818181818182</v>
      </c>
      <c r="I23" s="16">
        <f>IF(G23&gt;=0.25, "HIGH CONVICTION CATALYST", IF(G23&gt;=0.10, "MONITORING CATALYST", "SECONDARY"))</f>
        <v/>
      </c>
    </row>
    <row r="24">
      <c r="A24" s="12" t="inlineStr">
        <is>
          <t>AMD</t>
        </is>
      </c>
      <c r="B24" s="12" t="inlineStr">
        <is>
          <t>ADVANCED MICRO DEVICES</t>
        </is>
      </c>
      <c r="C24" s="12" t="inlineStr">
        <is>
          <t>Information Technology</t>
        </is>
      </c>
      <c r="D24" s="13" t="n">
        <v>649.42</v>
      </c>
      <c r="E24" s="21" t="inlineStr">
        <is>
          <t>2026-11-04</t>
        </is>
      </c>
      <c r="F24" s="13" t="n">
        <v>648.9697875976562</v>
      </c>
      <c r="G24" s="14">
        <f>(F24-D24)/D24</f>
        <v/>
      </c>
      <c r="H24" s="14" t="n">
        <v>0.8235294117647058</v>
      </c>
      <c r="I24" s="16">
        <f>IF(G24&gt;=0.25, "HIGH CONVICTION CATALYST", IF(G24&gt;=0.10, "MONITORING CATALYST", "SECONDARY"))</f>
        <v/>
      </c>
    </row>
    <row r="25">
      <c r="A25" s="12" t="inlineStr">
        <is>
          <t>NVDA</t>
        </is>
      </c>
      <c r="B25" s="12" t="inlineStr">
        <is>
          <t>NVIDIA CORP</t>
        </is>
      </c>
      <c r="C25" s="12" t="inlineStr">
        <is>
          <t>Information Technology</t>
        </is>
      </c>
      <c r="D25" s="13" t="n">
        <v>239.24</v>
      </c>
      <c r="E25" s="21" t="inlineStr">
        <is>
          <t>2026-11-19</t>
        </is>
      </c>
      <c r="F25" s="13" t="n">
        <v>323.8887634277344</v>
      </c>
      <c r="G25" s="14">
        <f>(F25-D25)/D25</f>
        <v/>
      </c>
      <c r="H25" s="14" t="n">
        <v>0.9634146341463414</v>
      </c>
      <c r="I25" s="16">
        <f>IF(G25&gt;=0.25, "HIGH CONVICTION CATALYST", IF(G25&gt;=0.10, "MONITORING CATALYST", "SECONDARY"))</f>
        <v/>
      </c>
    </row>
    <row r="26">
      <c r="A26" s="12" t="inlineStr">
        <is>
          <t>WMT</t>
        </is>
      </c>
      <c r="B26" s="12" t="inlineStr">
        <is>
          <t>WALMART INC</t>
        </is>
      </c>
      <c r="C26" s="12" t="inlineStr">
        <is>
          <t>Consumer Staples</t>
        </is>
      </c>
      <c r="D26" s="13" t="n">
        <v>107.2</v>
      </c>
      <c r="E26" s="21" t="inlineStr">
        <is>
          <t>2026-11-19</t>
        </is>
      </c>
      <c r="F26" s="13" t="n">
        <v>128.2888946533203</v>
      </c>
      <c r="G26" s="14">
        <f>(F26-D26)/D26</f>
        <v/>
      </c>
      <c r="H26" s="14" t="n">
        <v>0.8846153846153846</v>
      </c>
      <c r="I26" s="16">
        <f>IF(G26&gt;=0.25, "HIGH CONVICTION CATALYST", IF(G26&gt;=0.10, "MONITORING CATALYST", "SECONDARY"))</f>
        <v/>
      </c>
    </row>
    <row r="27">
      <c r="A27" s="12" t="inlineStr">
        <is>
          <t>XOM</t>
        </is>
      </c>
      <c r="B27" s="12" t="inlineStr">
        <is>
          <t>EXXONMOBIL HOLDINGS CORP</t>
        </is>
      </c>
      <c r="C27" s="12" t="inlineStr">
        <is>
          <t>Energy</t>
        </is>
      </c>
      <c r="D27" s="13" t="n">
        <v>164.48</v>
      </c>
      <c r="E27" s="21" t="inlineStr">
        <is>
          <t>2026-11-27</t>
        </is>
      </c>
      <c r="F27" s="13" t="n">
        <v>172.4400024414062</v>
      </c>
      <c r="G27" s="14">
        <f>(F27-D27)/D27</f>
        <v/>
      </c>
      <c r="H27" s="14" t="n">
        <v>0.3870967741935484</v>
      </c>
      <c r="I27" s="16">
        <f>IF(G27&gt;=0.25, "HIGH CONVICTION CATALYST", IF(G27&gt;=0.10, "MONITORING CATALYST", "SECONDARY"))</f>
        <v/>
      </c>
    </row>
    <row r="28">
      <c r="A28" s="12" t="inlineStr">
        <is>
          <t>COST</t>
        </is>
      </c>
      <c r="B28" s="12" t="inlineStr">
        <is>
          <t>COSTCO WHOLESALE CORP</t>
        </is>
      </c>
      <c r="C28" s="12" t="inlineStr">
        <is>
          <t>Consumer Staples</t>
        </is>
      </c>
      <c r="D28" s="13" t="n">
        <v>935.6799999999999</v>
      </c>
      <c r="E28" s="21" t="inlineStr">
        <is>
          <t>2026-12-11</t>
        </is>
      </c>
      <c r="F28" s="13" t="n">
        <v>1074.228515625</v>
      </c>
      <c r="G28" s="14">
        <f>(F28-D28)/D28</f>
        <v/>
      </c>
      <c r="H28" s="14" t="n">
        <v>0.6666666666666666</v>
      </c>
      <c r="I28" s="16">
        <f>IF(G28&gt;=0.25, "HIGH CONVICTION CATALYST", IF(G28&gt;=0.10, "MONITORING CATALYST", "SECONDARY"))</f>
        <v/>
      </c>
    </row>
    <row r="29">
      <c r="A29" s="12" t="inlineStr">
        <is>
          <t>AVGO</t>
        </is>
      </c>
      <c r="B29" s="12" t="inlineStr">
        <is>
          <t>BROADCOM INC</t>
        </is>
      </c>
      <c r="C29" s="12" t="inlineStr">
        <is>
          <t>Information Technology</t>
        </is>
      </c>
      <c r="D29" s="13" t="n">
        <v>375.81</v>
      </c>
      <c r="E29" s="21" t="inlineStr">
        <is>
          <t>2026-12-11</t>
        </is>
      </c>
      <c r="F29" s="13" t="n">
        <v>529.7020874023438</v>
      </c>
      <c r="G29" s="14">
        <f>(F29-D29)/D29</f>
        <v/>
      </c>
      <c r="H29" s="14" t="n">
        <v>0.9354838709677419</v>
      </c>
      <c r="I29" s="16">
        <f>IF(G29&gt;=0.25, "HIGH CONVICTION CATALYST", IF(G29&gt;=0.10, "MONITORING CATALYST", "SECONDARY"))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2026-10-06T21:23:25Z</dcterms:created>
  <dcterms:modified xsi:type="dcterms:W3CDTF">2026-10-06T21:23:25Z</dcterms:modified>
</cp:coreProperties>
</file>